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 codeName="DieseArbeitsmappe"/>
  <xr:revisionPtr revIDLastSave="0" documentId="13_ncr:1_{D3E409B8-9FF1-4E11-A4BB-F3E469C8D9F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Barabanova" sheetId="1" r:id="rId1"/>
    <sheet name="Bersuch" sheetId="2" r:id="rId2"/>
    <sheet name="Brügge" sheetId="3" r:id="rId3"/>
    <sheet name="Burmeister" sheetId="4" r:id="rId4"/>
    <sheet name="Ellguth" sheetId="5" r:id="rId5"/>
    <sheet name="Hagen" sheetId="6" r:id="rId6"/>
    <sheet name="Hoffmann" sheetId="8" r:id="rId7"/>
    <sheet name="Jaspers" sheetId="9" r:id="rId8"/>
    <sheet name="Jönsson" sheetId="10" r:id="rId9"/>
    <sheet name="Jordan" sheetId="11" r:id="rId10"/>
    <sheet name="Karpez" sheetId="12" r:id="rId11"/>
    <sheet name="Meyer" sheetId="13" r:id="rId12"/>
    <sheet name="Neumann" sheetId="14" r:id="rId13"/>
    <sheet name="Reder" sheetId="15" r:id="rId14"/>
    <sheet name="Schein" sheetId="16" r:id="rId15"/>
    <sheet name="Cardinier" sheetId="17" r:id="rId16"/>
    <sheet name="Wiens" sheetId="18" r:id="rId17"/>
  </sheets>
  <definedNames>
    <definedName name="_xlnm.Print_Area" localSheetId="0">Barabanova!$A$1:$H$23</definedName>
    <definedName name="_xlnm.Print_Area" localSheetId="1">Bersuch!$A$1:$H$21</definedName>
    <definedName name="_xlnm.Print_Area" localSheetId="2">Brügge!$A$1:$H$20</definedName>
    <definedName name="_xlnm.Print_Area" localSheetId="3">Burmeister!$A$1:$H$24</definedName>
    <definedName name="_xlnm.Print_Area" localSheetId="15">Cardinier!$A$1:$H$20</definedName>
    <definedName name="_xlnm.Print_Area" localSheetId="4">Ellguth!$A$1:$H$20</definedName>
    <definedName name="_xlnm.Print_Area" localSheetId="5">Hagen!$A$1:$H$20</definedName>
    <definedName name="_xlnm.Print_Area" localSheetId="6">Hoffmann!$A$1:$H$21</definedName>
    <definedName name="_xlnm.Print_Area" localSheetId="8">Jönsson!$A$1:$H$19</definedName>
    <definedName name="_xlnm.Print_Area" localSheetId="9">Jordan!$A$1:$H$23</definedName>
    <definedName name="_xlnm.Print_Area" localSheetId="10">Karpez!$A$1:$H$23</definedName>
    <definedName name="_xlnm.Print_Area" localSheetId="11">Meyer!$A$1:$G$19</definedName>
    <definedName name="_xlnm.Print_Area" localSheetId="12">Neumann!$A$1:$H$21</definedName>
    <definedName name="_xlnm.Print_Area" localSheetId="13">Reder!$A$1:$H$20</definedName>
    <definedName name="_xlnm.Print_Area" localSheetId="14">Schein!$A$1:$H$22</definedName>
    <definedName name="_xlnm.Print_Area" localSheetId="16">Wiens!$A$1:$H$21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6"/>
  <c r="F10" i="18" l="1"/>
  <c r="F9" i="18"/>
  <c r="F11" i="18" s="1"/>
  <c r="F9" i="17" l="1"/>
  <c r="F10" i="17" s="1"/>
  <c r="F9" i="16" l="1"/>
  <c r="F11" i="16" s="1"/>
  <c r="F9" i="15" l="1"/>
  <c r="F10" i="15" s="1"/>
  <c r="F10" i="14" l="1"/>
  <c r="F9" i="14"/>
  <c r="F11" i="14" s="1"/>
  <c r="E9" i="13" l="1"/>
  <c r="E10" i="13" s="1"/>
  <c r="F10" i="12" l="1"/>
  <c r="F9" i="12"/>
  <c r="F11" i="12" s="1"/>
  <c r="F9" i="11" l="1"/>
  <c r="F10" i="11" s="1"/>
  <c r="F9" i="10" l="1"/>
  <c r="F10" i="10" s="1"/>
  <c r="F9" i="9" l="1"/>
  <c r="F10" i="9" s="1"/>
  <c r="F10" i="8" l="1"/>
  <c r="F9" i="8"/>
  <c r="F11" i="8" s="1"/>
  <c r="F9" i="6" l="1"/>
  <c r="F9" i="5" l="1"/>
  <c r="F10" i="5" s="1"/>
  <c r="F10" i="4" l="1"/>
  <c r="F9" i="4"/>
  <c r="F11" i="4" l="1"/>
  <c r="F9" i="3" l="1"/>
  <c r="F10" i="3" s="1"/>
  <c r="F9" i="2" l="1"/>
  <c r="F10" i="2" l="1"/>
  <c r="F11" i="2" s="1"/>
  <c r="F10" i="1" l="1"/>
  <c r="F11" i="1" s="1"/>
</calcChain>
</file>

<file path=xl/sharedStrings.xml><?xml version="1.0" encoding="utf-8"?>
<sst xmlns="http://schemas.openxmlformats.org/spreadsheetml/2006/main" count="589" uniqueCount="120">
  <si>
    <t xml:space="preserve">Bereitschaftspflege </t>
  </si>
  <si>
    <t>EKN:</t>
  </si>
  <si>
    <t xml:space="preserve">Buchungsbeleg-Nr.: </t>
  </si>
  <si>
    <t>BBZ:</t>
  </si>
  <si>
    <t>Osnabrück</t>
  </si>
  <si>
    <t>Datum:</t>
  </si>
  <si>
    <t>Text</t>
  </si>
  <si>
    <t xml:space="preserve"> </t>
  </si>
  <si>
    <t>Konto</t>
  </si>
  <si>
    <t>Kreditor</t>
  </si>
  <si>
    <t>Betrag</t>
  </si>
  <si>
    <t>KST</t>
  </si>
  <si>
    <t>KTR</t>
  </si>
  <si>
    <t xml:space="preserve">Tatjana Barabanova                                           Bereitschaftspflegegeld für Leon Korte </t>
  </si>
  <si>
    <t>11/25</t>
  </si>
  <si>
    <t xml:space="preserve">
711521</t>
  </si>
  <si>
    <t>0230</t>
  </si>
  <si>
    <t>0230 1114 122 20</t>
  </si>
  <si>
    <t xml:space="preserve">Tatjana Barabanova                                           Bereitschaftspflegegeld für Lukas Korte </t>
  </si>
  <si>
    <t>711522</t>
  </si>
  <si>
    <t>Buchungsvermerke</t>
  </si>
  <si>
    <t>erstellt</t>
  </si>
  <si>
    <t>genehmigt</t>
  </si>
  <si>
    <t>gebucht</t>
  </si>
  <si>
    <t>Kontodaten:</t>
  </si>
  <si>
    <t>IBAN:</t>
  </si>
  <si>
    <t>DE59 2655 0105 0012 2110 41</t>
  </si>
  <si>
    <t>BIC:</t>
  </si>
  <si>
    <t>Verwendungszweck:</t>
  </si>
  <si>
    <t xml:space="preserve">Bereitschaftspflegegeld </t>
  </si>
  <si>
    <t>Kontoinhaber:</t>
  </si>
  <si>
    <t>Tatjana Barabanova</t>
  </si>
  <si>
    <t>Alwina Bersuch                                   Bereitschaftspflege für Vanessa Schwarz</t>
  </si>
  <si>
    <t xml:space="preserve">
711553</t>
  </si>
  <si>
    <t>Alwina Bersuch                                   Bereitschaftspflege für Anouk Poppy Teasdale</t>
  </si>
  <si>
    <t>DE48 2805 0100 0094 5992 14</t>
  </si>
  <si>
    <t>Alwina Bersuch</t>
  </si>
  <si>
    <t xml:space="preserve">Nadine Brügge                                  Bereischaftspflegegeld für Luis Margraff </t>
  </si>
  <si>
    <t xml:space="preserve">
711534</t>
  </si>
  <si>
    <t>DE54 4945 0120 1201 0233 61</t>
  </si>
  <si>
    <t>Nadine Brügge</t>
  </si>
  <si>
    <t xml:space="preserve">Katarina Burmeister                                     Bereitschaftspflege für Andrzej Brozda
</t>
  </si>
  <si>
    <t>711543</t>
  </si>
  <si>
    <t xml:space="preserve">Katarina Burmeister                                     Bereitschaftspflege für Cayden Burlager 
</t>
  </si>
  <si>
    <t>711546</t>
  </si>
  <si>
    <t>DE20 1203 0000 1075 9603 42</t>
  </si>
  <si>
    <t xml:space="preserve">Katharina Burmeister </t>
  </si>
  <si>
    <t xml:space="preserve">Paula Ellguth
Bereitschaftspflegegeld für Malik Flügge </t>
  </si>
  <si>
    <t>711500</t>
  </si>
  <si>
    <t>DE68 2675 0001 0123 0401 31</t>
  </si>
  <si>
    <t>Paula Ellguth</t>
  </si>
  <si>
    <t xml:space="preserve">Elena Hagen                                         Bereitschaftspflegegeld für Youssef Mussa </t>
  </si>
  <si>
    <t xml:space="preserve">
711536</t>
  </si>
  <si>
    <t>DE 05 100110012996707054</t>
  </si>
  <si>
    <t xml:space="preserve">Bereitschaftspflegegeld  </t>
  </si>
  <si>
    <t>Elena Hagen</t>
  </si>
  <si>
    <t xml:space="preserve">Waldemar Hoffmann
Bereitschaftspflegegeld für Jamile Mussa </t>
  </si>
  <si>
    <t>711535</t>
  </si>
  <si>
    <t>Waldemar Hoffmann
Bereitschaftspflegegeld für Finn Justin Bürger</t>
  </si>
  <si>
    <t>11725</t>
  </si>
  <si>
    <t>711554</t>
  </si>
  <si>
    <t>231 1114 122 20</t>
  </si>
  <si>
    <t>DE34 4905 0101 0021 546833</t>
  </si>
  <si>
    <t>Waldemar Hoffmann</t>
  </si>
  <si>
    <t xml:space="preserve">Anne Jaspers                                        Bereitschaftspflege für Ahmad El Faour </t>
  </si>
  <si>
    <t>711532</t>
  </si>
  <si>
    <t>DE46 5001 0060 0670 3776 05</t>
  </si>
  <si>
    <t>Anne Jaspers</t>
  </si>
  <si>
    <t xml:space="preserve">Johanna Jönsson                                        Bereitschaftspflege für Ivanna Ushko </t>
  </si>
  <si>
    <t xml:space="preserve">
711548</t>
  </si>
  <si>
    <t>DE53 4035 1060 0070 1395</t>
  </si>
  <si>
    <t xml:space="preserve">Franziska Jordan                                              Bereitschaftspflege Anis Malik Cholodowski </t>
  </si>
  <si>
    <t xml:space="preserve">
711520</t>
  </si>
  <si>
    <t>DE57 1406 1308 0006 8112 56</t>
  </si>
  <si>
    <t>Franziska Jordan</t>
  </si>
  <si>
    <t xml:space="preserve">Anis M. Cholodowski, ist am 07.10.2025 ausgezogen - wurde mir erst im November mitgeteilt </t>
  </si>
  <si>
    <t xml:space="preserve">Rechnung an die Pflegefamilie zum Zurücküberweisen wird geschickt. </t>
  </si>
  <si>
    <t>Frau Jasper hat Familie Jordan informiert</t>
  </si>
  <si>
    <t>Galina Karpez                                 Bereitschaftspflege für Aaron Heidenreich</t>
  </si>
  <si>
    <t>711555</t>
  </si>
  <si>
    <t>Galina Karpez                                 Bereitschaftspflege für Castiel Heidenreich</t>
  </si>
  <si>
    <t>711556</t>
  </si>
  <si>
    <t>DE32 2659 0025 1863 9011 00</t>
  </si>
  <si>
    <t>Galina Karpez</t>
  </si>
  <si>
    <t>Beide Kinder sind am 03.11.2025 ausgezogen</t>
  </si>
  <si>
    <t>Cayden Burglager ist am 04.11.2025 ausgezogen</t>
  </si>
  <si>
    <t>Bereitsschaftspflege</t>
  </si>
  <si>
    <t xml:space="preserve">Michelle Meyer
Bereitschaftpflege Prokhor Ushko </t>
  </si>
  <si>
    <t xml:space="preserve">
711549</t>
  </si>
  <si>
    <t>DE78 2655 0105 0008 3519 42</t>
  </si>
  <si>
    <t>Michelle Meyer</t>
  </si>
  <si>
    <t xml:space="preserve">Nelli Neumann                            Bereitschaftspflegegeld für Gleb Slunko </t>
  </si>
  <si>
    <t xml:space="preserve">
711551</t>
  </si>
  <si>
    <t>Nelli Neumann
Bereitschaftspflegegeld für Dmytro Netrebenko</t>
  </si>
  <si>
    <t xml:space="preserve">
711552</t>
  </si>
  <si>
    <t>DE38 2659 0025 1858 8050 00</t>
  </si>
  <si>
    <t>Nelli Neumann</t>
  </si>
  <si>
    <t xml:space="preserve">Irina Reder                                        Bereitschaftspflege für Fabio Bukovic </t>
  </si>
  <si>
    <t xml:space="preserve">
711528</t>
  </si>
  <si>
    <t>DE19 4905 0101 0005 5467 59</t>
  </si>
  <si>
    <t>Oksana Schein
Bereitschaftspflegegeld für Malia Margraff</t>
  </si>
  <si>
    <t>711533</t>
  </si>
  <si>
    <t xml:space="preserve">Oksana Schein
Bereitschaftspflegegeld für Thiago Sousa Cordas </t>
  </si>
  <si>
    <t>711505</t>
  </si>
  <si>
    <t>DE24 2655 0105 0012 0908 09</t>
  </si>
  <si>
    <t>Oksana Schein</t>
  </si>
  <si>
    <t xml:space="preserve">Katharina Cardinier                                   Bereitschaftspflege für Sabina Dunja Zumberi 
</t>
  </si>
  <si>
    <t>DE19 4035 1060 0073 4615 92</t>
  </si>
  <si>
    <t xml:space="preserve">Katharina Cardinier </t>
  </si>
  <si>
    <t>711539</t>
  </si>
  <si>
    <t>Helene Wiens                                       Bereitschaftspflege für Nazar Foiev</t>
  </si>
  <si>
    <t>711518</t>
  </si>
  <si>
    <t>Helene Wiens                                       Bereitschaftspflege für Emil De Soza Ammassari</t>
  </si>
  <si>
    <t xml:space="preserve">  </t>
  </si>
  <si>
    <t>DE44 2655 0105 1610 4020 32</t>
  </si>
  <si>
    <t>Helene Wiens</t>
  </si>
  <si>
    <t>Peter Reder, Irina Reder</t>
  </si>
  <si>
    <t>Christoph und Johanna Jönsson</t>
  </si>
  <si>
    <t xml:space="preserve">Thiago ist am 21.11.2025 ausgezogen </t>
  </si>
  <si>
    <t xml:space="preserve">Leon und Lukas sind am 26.11.2025 ausgezogen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</si>
</sst>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0" tint="-0.499984740745262"/>
      <name val="Arial"/>
      <family val="2"/>
    </font>
    <font>
      <sz val="11"/>
      <color theme="0" tint="-0.499984740745262"/>
      <name val="Calibri"/>
      <family val="2"/>
      <scheme val="minor"/>
    </font>
    <font>
      <b/>
      <sz val="10"/>
      <color theme="0" tint="-0.499984740745262"/>
      <name val="Arial"/>
      <family val="2"/>
    </font>
    <font>
      <sz val="10"/>
      <color theme="1"/>
      <name val="Arial"/>
      <family val="2"/>
    </font>
    <font>
      <b/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C00000"/>
      <name val="Arial"/>
      <family val="2"/>
    </font>
    <font>
      <sz val="11"/>
      <color rgb="FFC00000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name val="Arial"/>
      <family val="2"/>
    </font>
    <font>
      <sz val="10"/>
      <color rgb="FFFF0000"/>
      <name val="Verdana"/>
      <family val="2"/>
    </font>
    <font>
      <sz val="10"/>
      <color rgb="FF00B0F0"/>
      <name val="Verdana"/>
      <family val="2"/>
    </font>
    <font>
      <b/>
      <sz val="10"/>
      <color rgb="FFFF0000"/>
      <name val="Verdana"/>
      <family val="2"/>
    </font>
    <font>
      <b/>
      <sz val="10"/>
      <color rgb="FF00B0F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14" fontId="4" fillId="0" borderId="1" xfId="0" applyNumberFormat="1" applyFont="1" applyBorder="1"/>
    <xf numFmtId="0" fontId="4" fillId="0" borderId="3" xfId="0" applyFont="1" applyBorder="1"/>
    <xf numFmtId="17" fontId="4" fillId="0" borderId="4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3" xfId="0" applyFont="1" applyFill="1" applyBorder="1" applyAlignment="1">
      <alignment wrapText="1"/>
    </xf>
    <xf numFmtId="49" fontId="5" fillId="0" borderId="3" xfId="0" applyNumberFormat="1" applyFont="1" applyBorder="1" applyAlignment="1">
      <alignment horizontal="center"/>
    </xf>
    <xf numFmtId="0" fontId="4" fillId="2" borderId="3" xfId="0" applyFont="1" applyFill="1" applyBorder="1" applyAlignment="1">
      <alignment horizontal="right"/>
    </xf>
    <xf numFmtId="44" fontId="5" fillId="2" borderId="3" xfId="1" applyFont="1" applyFill="1" applyBorder="1" applyAlignment="1"/>
    <xf numFmtId="49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5" fillId="0" borderId="0" xfId="0" applyFont="1"/>
    <xf numFmtId="0" fontId="4" fillId="0" borderId="6" xfId="0" applyFont="1" applyBorder="1" applyAlignment="1">
      <alignment wrapText="1"/>
    </xf>
    <xf numFmtId="49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9" xfId="0" applyBorder="1"/>
    <xf numFmtId="44" fontId="3" fillId="0" borderId="10" xfId="1" applyFont="1" applyBorder="1" applyAlignment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17" fontId="4" fillId="0" borderId="13" xfId="0" applyNumberFormat="1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6" xfId="0" applyFont="1" applyBorder="1"/>
    <xf numFmtId="17" fontId="4" fillId="0" borderId="0" xfId="0" applyNumberFormat="1" applyFont="1"/>
    <xf numFmtId="0" fontId="4" fillId="0" borderId="11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6" fillId="0" borderId="0" xfId="0" applyFont="1"/>
    <xf numFmtId="17" fontId="6" fillId="0" borderId="0" xfId="0" applyNumberFormat="1" applyFont="1"/>
    <xf numFmtId="0" fontId="6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44" fontId="7" fillId="2" borderId="0" xfId="1" applyFont="1" applyFill="1" applyBorder="1" applyAlignment="1"/>
    <xf numFmtId="49" fontId="6" fillId="0" borderId="0" xfId="0" applyNumberFormat="1" applyFont="1" applyAlignment="1">
      <alignment horizontal="right"/>
    </xf>
    <xf numFmtId="44" fontId="8" fillId="0" borderId="0" xfId="1" applyFont="1" applyBorder="1" applyAlignment="1"/>
    <xf numFmtId="0" fontId="7" fillId="0" borderId="0" xfId="0" applyFont="1"/>
    <xf numFmtId="0" fontId="9" fillId="0" borderId="0" xfId="0" applyFont="1"/>
    <xf numFmtId="0" fontId="9" fillId="2" borderId="0" xfId="0" applyFont="1" applyFill="1" applyAlignment="1">
      <alignment wrapText="1"/>
    </xf>
    <xf numFmtId="49" fontId="1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right"/>
    </xf>
    <xf numFmtId="49" fontId="9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6" fillId="2" borderId="0" xfId="0" applyFont="1" applyFill="1" applyAlignment="1">
      <alignment wrapText="1"/>
    </xf>
    <xf numFmtId="49" fontId="7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right"/>
    </xf>
    <xf numFmtId="0" fontId="10" fillId="0" borderId="0" xfId="0" applyFont="1"/>
    <xf numFmtId="44" fontId="11" fillId="2" borderId="3" xfId="1" applyFont="1" applyFill="1" applyBorder="1" applyAlignment="1"/>
    <xf numFmtId="49" fontId="4" fillId="0" borderId="13" xfId="0" applyNumberFormat="1" applyFont="1" applyBorder="1" applyAlignment="1">
      <alignment horizontal="right"/>
    </xf>
    <xf numFmtId="17" fontId="1" fillId="0" borderId="0" xfId="0" applyNumberFormat="1" applyFont="1"/>
    <xf numFmtId="0" fontId="4" fillId="0" borderId="3" xfId="0" applyFont="1" applyBorder="1" applyAlignment="1">
      <alignment wrapText="1"/>
    </xf>
    <xf numFmtId="0" fontId="12" fillId="0" borderId="0" xfId="0" applyFont="1"/>
    <xf numFmtId="0" fontId="13" fillId="0" borderId="0" xfId="0" applyFont="1"/>
    <xf numFmtId="0" fontId="4" fillId="0" borderId="20" xfId="0" applyFont="1" applyBorder="1" applyAlignment="1">
      <alignment wrapText="1"/>
    </xf>
    <xf numFmtId="49" fontId="14" fillId="0" borderId="3" xfId="0" applyNumberFormat="1" applyFont="1" applyBorder="1" applyAlignment="1">
      <alignment horizontal="center"/>
    </xf>
    <xf numFmtId="44" fontId="4" fillId="2" borderId="3" xfId="1" applyFont="1" applyFill="1" applyBorder="1" applyAlignment="1"/>
    <xf numFmtId="44" fontId="3" fillId="3" borderId="10" xfId="1" applyFont="1" applyFill="1" applyBorder="1" applyAlignment="1"/>
    <xf numFmtId="0" fontId="15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44" fontId="7" fillId="0" borderId="0" xfId="1" applyFont="1" applyFill="1" applyBorder="1" applyAlignment="1"/>
    <xf numFmtId="49" fontId="7" fillId="0" borderId="0" xfId="0" applyNumberFormat="1" applyFont="1" applyAlignment="1">
      <alignment horizontal="right"/>
    </xf>
    <xf numFmtId="0" fontId="5" fillId="3" borderId="0" xfId="0" applyFont="1" applyFill="1" applyAlignment="1">
      <alignment wrapText="1"/>
    </xf>
    <xf numFmtId="44" fontId="5" fillId="0" borderId="3" xfId="1" applyFont="1" applyFill="1" applyBorder="1" applyAlignment="1"/>
    <xf numFmtId="0" fontId="4" fillId="0" borderId="21" xfId="0" applyFont="1" applyBorder="1" applyAlignment="1">
      <alignment wrapText="1"/>
    </xf>
    <xf numFmtId="49" fontId="0" fillId="0" borderId="9" xfId="0" applyNumberFormat="1" applyBorder="1" applyAlignment="1">
      <alignment horizontal="center"/>
    </xf>
    <xf numFmtId="44" fontId="3" fillId="0" borderId="22" xfId="1" applyFont="1" applyBorder="1" applyAlignment="1"/>
    <xf numFmtId="0" fontId="0" fillId="0" borderId="22" xfId="0" applyBorder="1"/>
    <xf numFmtId="0" fontId="0" fillId="0" borderId="5" xfId="0" applyBorder="1"/>
    <xf numFmtId="0" fontId="5" fillId="3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0" borderId="1" xfId="0" applyBorder="1"/>
    <xf numFmtId="14" fontId="0" fillId="0" borderId="1" xfId="0" applyNumberFormat="1" applyBorder="1"/>
    <xf numFmtId="14" fontId="4" fillId="0" borderId="0" xfId="0" applyNumberFormat="1" applyFont="1"/>
    <xf numFmtId="0" fontId="5" fillId="2" borderId="3" xfId="1" applyNumberFormat="1" applyFont="1" applyFill="1" applyBorder="1" applyAlignment="1">
      <alignment horizontal="right" wrapText="1"/>
    </xf>
    <xf numFmtId="0" fontId="19" fillId="0" borderId="0" xfId="0" applyFont="1"/>
    <xf numFmtId="0" fontId="4" fillId="0" borderId="23" xfId="0" applyFont="1" applyBorder="1" applyAlignment="1">
      <alignment wrapText="1"/>
    </xf>
    <xf numFmtId="49" fontId="0" fillId="0" borderId="3" xfId="0" applyNumberFormat="1" applyBorder="1" applyAlignment="1">
      <alignment horizontal="center"/>
    </xf>
    <xf numFmtId="0" fontId="20" fillId="0" borderId="0" xfId="0" applyFont="1"/>
    <xf numFmtId="4" fontId="4" fillId="0" borderId="13" xfId="0" applyNumberFormat="1" applyFont="1" applyBorder="1"/>
    <xf numFmtId="4" fontId="4" fillId="0" borderId="0" xfId="0" applyNumberFormat="1" applyFont="1"/>
    <xf numFmtId="44" fontId="1" fillId="2" borderId="0" xfId="1" applyFont="1" applyFill="1" applyBorder="1" applyAlignment="1"/>
    <xf numFmtId="0" fontId="21" fillId="0" borderId="0" xfId="0" applyFont="1"/>
    <xf numFmtId="0" fontId="0" fillId="0" borderId="0" xfId="0" applyAlignment="1">
      <alignment vertical="center"/>
    </xf>
    <xf numFmtId="0" fontId="22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right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right"/>
    </xf>
    <xf numFmtId="0" fontId="3" fillId="3" borderId="0" xfId="0" applyFont="1" applyFill="1" applyAlignment="1">
      <alignment wrapText="1"/>
    </xf>
    <xf numFmtId="44" fontId="5" fillId="3" borderId="3" xfId="1" applyFont="1" applyFill="1" applyBorder="1" applyAlignment="1"/>
    <xf numFmtId="0" fontId="10" fillId="0" borderId="0" xfId="0" applyFont="1"/>
    <xf numFmtId="0" fontId="7" fillId="0" borderId="0" xfId="0" applyFont="1"/>
    <xf numFmtId="14" fontId="4" fillId="0" borderId="1" xfId="0" applyNumberFormat="1" applyFont="1" applyBorder="1"/>
    <xf numFmtId="0" fontId="4" fillId="0" borderId="1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4" xfId="0" applyNumberFormat="1" applyFont="1" applyBorder="1" applyAlignment="1">
      <alignment horizontal="right" wrapText="1"/>
    </xf>
    <xf numFmtId="49" fontId="4" fillId="0" borderId="5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2" fillId="0" borderId="0" xfId="0" applyFont="1"/>
    <xf numFmtId="0" fontId="1" fillId="0" borderId="0" xfId="0" applyFont="1"/>
    <xf numFmtId="0" fontId="3" fillId="3" borderId="0" xfId="0" applyFont="1" applyFill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5" fillId="3" borderId="0" xfId="0" applyFont="1" applyFill="1" applyAlignment="1">
      <alignment wrapText="1"/>
    </xf>
    <xf numFmtId="14" fontId="4" fillId="0" borderId="0" xfId="0" applyNumberFormat="1" applyFont="1"/>
    <xf numFmtId="0" fontId="4" fillId="0" borderId="0" xfId="0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tel:0510011001299670705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tel:05100110012996707054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theme="7" tint="0.79998168889431442"/>
    <pageSetUpPr fitToPage="1"/>
  </sheetPr>
  <dimension ref="A1:I27"/>
  <sheetViews>
    <sheetView zoomScaleNormal="100" workbookViewId="0">
      <selection activeCell="F24" sqref="F24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4.28515625" customWidth="1"/>
    <col min="7" max="7" width="11.7109375" customWidth="1"/>
    <col min="8" max="8" width="22.2851562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45986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9.5" customHeight="1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10" t="s">
        <v>13</v>
      </c>
      <c r="B9" s="11" t="s">
        <v>14</v>
      </c>
      <c r="C9" s="12">
        <v>50350</v>
      </c>
      <c r="D9" s="108" t="s">
        <v>15</v>
      </c>
      <c r="E9" s="109"/>
      <c r="F9" s="101">
        <f>94.02*25</f>
        <v>2350.5</v>
      </c>
      <c r="G9" s="14" t="s">
        <v>16</v>
      </c>
      <c r="H9" s="15" t="s">
        <v>17</v>
      </c>
    </row>
    <row r="10" spans="1:9" ht="27" thickBot="1" x14ac:dyDescent="0.3">
      <c r="A10" s="10" t="s">
        <v>18</v>
      </c>
      <c r="B10" s="11" t="s">
        <v>14</v>
      </c>
      <c r="C10" s="12">
        <v>50350</v>
      </c>
      <c r="D10" s="110" t="s">
        <v>19</v>
      </c>
      <c r="E10" s="109"/>
      <c r="F10" s="101">
        <f>F9</f>
        <v>2350.5</v>
      </c>
      <c r="G10" s="14" t="s">
        <v>16</v>
      </c>
      <c r="H10" s="15" t="s">
        <v>17</v>
      </c>
    </row>
    <row r="11" spans="1:9" ht="29.45" customHeight="1" thickBot="1" x14ac:dyDescent="0.3">
      <c r="A11" s="17"/>
      <c r="B11" s="18" t="s">
        <v>7</v>
      </c>
      <c r="C11" s="19"/>
      <c r="D11" s="111"/>
      <c r="E11" s="112"/>
      <c r="F11" s="62">
        <f>SUM(F9:F10)</f>
        <v>4701</v>
      </c>
      <c r="G11" s="22"/>
      <c r="H11" s="23"/>
    </row>
    <row r="12" spans="1:9" x14ac:dyDescent="0.25">
      <c r="A12" s="24" t="s">
        <v>20</v>
      </c>
      <c r="B12" s="25" t="s">
        <v>7</v>
      </c>
      <c r="C12" s="26" t="s">
        <v>21</v>
      </c>
      <c r="D12" s="26" t="s">
        <v>22</v>
      </c>
      <c r="E12" s="26"/>
      <c r="F12" s="26" t="s">
        <v>23</v>
      </c>
      <c r="G12" s="26"/>
      <c r="H12" s="27"/>
    </row>
    <row r="13" spans="1:9" x14ac:dyDescent="0.25">
      <c r="A13" s="28"/>
      <c r="B13" s="29"/>
      <c r="C13" s="2"/>
      <c r="D13" s="2"/>
      <c r="E13" s="2"/>
      <c r="F13" s="2"/>
      <c r="G13" s="2"/>
      <c r="H13" s="30"/>
    </row>
    <row r="14" spans="1:9" ht="15.75" thickBot="1" x14ac:dyDescent="0.3">
      <c r="A14" s="31"/>
      <c r="B14" s="32"/>
      <c r="C14" s="32"/>
      <c r="D14" s="32"/>
      <c r="E14" s="32"/>
      <c r="F14" s="32"/>
      <c r="G14" s="32"/>
      <c r="H14" s="33"/>
    </row>
    <row r="15" spans="1:9" x14ac:dyDescent="0.25">
      <c r="A15" s="34"/>
      <c r="B15" s="35"/>
      <c r="C15" s="36"/>
      <c r="D15" s="36"/>
      <c r="E15" s="36"/>
      <c r="F15" s="36"/>
      <c r="G15" s="36"/>
      <c r="H15" s="36"/>
    </row>
    <row r="16" spans="1:9" x14ac:dyDescent="0.25">
      <c r="A16" s="37" t="s">
        <v>24</v>
      </c>
      <c r="B16" s="38"/>
      <c r="C16" s="38"/>
      <c r="D16" s="38"/>
      <c r="E16" s="38"/>
      <c r="F16" s="39"/>
      <c r="G16" s="40"/>
      <c r="H16" s="36"/>
    </row>
    <row r="17" spans="1:8" x14ac:dyDescent="0.25">
      <c r="A17" s="38" t="s">
        <v>25</v>
      </c>
      <c r="B17" s="37" t="s">
        <v>26</v>
      </c>
      <c r="C17" s="38"/>
      <c r="D17" s="38"/>
      <c r="E17" s="38"/>
      <c r="F17" s="39"/>
      <c r="G17" s="40"/>
      <c r="H17" s="36"/>
    </row>
    <row r="18" spans="1:8" x14ac:dyDescent="0.25">
      <c r="A18" s="38" t="s">
        <v>27</v>
      </c>
      <c r="B18" s="37"/>
      <c r="C18" s="38"/>
      <c r="D18" s="38"/>
      <c r="E18" s="38"/>
      <c r="F18" s="41"/>
      <c r="G18" s="42"/>
      <c r="H18" s="42"/>
    </row>
    <row r="19" spans="1:8" x14ac:dyDescent="0.25">
      <c r="A19" s="43" t="s">
        <v>28</v>
      </c>
      <c r="B19" s="37" t="s">
        <v>29</v>
      </c>
      <c r="C19" s="38"/>
      <c r="D19" s="38"/>
      <c r="E19" s="38"/>
      <c r="F19" s="34"/>
      <c r="G19" s="34"/>
      <c r="H19" s="34"/>
    </row>
    <row r="20" spans="1:8" x14ac:dyDescent="0.25">
      <c r="A20" s="38" t="s">
        <v>30</v>
      </c>
      <c r="B20" s="113" t="s">
        <v>31</v>
      </c>
      <c r="C20" s="114"/>
      <c r="D20" s="114"/>
      <c r="E20" s="114"/>
      <c r="F20" s="34"/>
      <c r="G20" s="34"/>
      <c r="H20" s="34"/>
    </row>
    <row r="21" spans="1:8" x14ac:dyDescent="0.25">
      <c r="A21" s="98"/>
      <c r="B21" s="45"/>
      <c r="C21" s="99"/>
      <c r="D21" s="47"/>
      <c r="E21" s="48"/>
      <c r="F21" s="68"/>
      <c r="G21" s="40"/>
      <c r="H21" s="36"/>
    </row>
    <row r="22" spans="1:8" ht="17.25" customHeight="1" x14ac:dyDescent="0.25">
      <c r="A22" s="115" t="s">
        <v>119</v>
      </c>
      <c r="B22" s="115"/>
      <c r="C22" s="96"/>
      <c r="D22" s="40"/>
      <c r="E22" s="36"/>
      <c r="F22" s="68"/>
      <c r="G22" s="40"/>
      <c r="H22" s="36"/>
    </row>
    <row r="23" spans="1:8" x14ac:dyDescent="0.25">
      <c r="A23" s="52"/>
      <c r="B23" s="42"/>
      <c r="C23" s="42"/>
      <c r="D23" s="42"/>
      <c r="E23" s="42"/>
      <c r="F23" s="42"/>
      <c r="G23" s="40"/>
      <c r="H23" s="36"/>
    </row>
    <row r="24" spans="1:8" x14ac:dyDescent="0.25">
      <c r="A24" s="42"/>
      <c r="B24" s="52"/>
      <c r="C24" s="42"/>
      <c r="D24" s="42"/>
      <c r="E24" s="42"/>
      <c r="F24" s="42"/>
      <c r="G24" s="42"/>
      <c r="H24" s="42"/>
    </row>
    <row r="25" spans="1:8" x14ac:dyDescent="0.25">
      <c r="A25" s="42"/>
      <c r="B25" s="52"/>
      <c r="C25" s="42"/>
      <c r="D25" s="42"/>
      <c r="E25" s="42"/>
      <c r="F25" s="42"/>
      <c r="G25" s="34"/>
      <c r="H25" s="34"/>
    </row>
    <row r="26" spans="1:8" x14ac:dyDescent="0.25">
      <c r="A26" s="34"/>
      <c r="B26" s="52"/>
      <c r="C26" s="42"/>
      <c r="D26" s="42"/>
      <c r="E26" s="42"/>
      <c r="F26" s="42"/>
      <c r="G26" s="34"/>
      <c r="H26" s="34"/>
    </row>
    <row r="27" spans="1:8" x14ac:dyDescent="0.25">
      <c r="A27" s="42"/>
      <c r="B27" s="102"/>
      <c r="C27" s="103"/>
      <c r="D27" s="103"/>
      <c r="E27" s="103"/>
      <c r="F27" s="42"/>
      <c r="G27" s="42"/>
      <c r="H27" s="42"/>
    </row>
  </sheetData>
  <mergeCells count="8">
    <mergeCell ref="B27:E27"/>
    <mergeCell ref="F6:G6"/>
    <mergeCell ref="D8:E8"/>
    <mergeCell ref="D9:E9"/>
    <mergeCell ref="D10:E10"/>
    <mergeCell ref="D11:E11"/>
    <mergeCell ref="B20:E20"/>
    <mergeCell ref="A22:B22"/>
  </mergeCells>
  <pageMargins left="0.7" right="0.7" top="0.75" bottom="0.75" header="0.3" footer="0.3"/>
  <pageSetup paperSize="9" scale="94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I27"/>
  <sheetViews>
    <sheetView tabSelected="1" zoomScaleNormal="100" workbookViewId="0">
      <selection activeCell="F23" sqref="F23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8.75" customHeight="1" thickBot="1" x14ac:dyDescent="0.3">
      <c r="A7" s="2"/>
      <c r="B7" s="2"/>
      <c r="C7" s="2"/>
      <c r="D7" s="2"/>
      <c r="E7" s="2"/>
      <c r="F7" s="2"/>
      <c r="G7" s="2"/>
      <c r="H7" s="2"/>
    </row>
    <row r="8" spans="1:9" ht="18" customHeight="1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10" t="s">
        <v>32</v>
      </c>
      <c r="B9" s="11" t="s">
        <v>14</v>
      </c>
      <c r="C9" s="12">
        <v>50350</v>
      </c>
      <c r="D9" s="108" t="s">
        <v>33</v>
      </c>
      <c r="E9" s="109"/>
      <c r="F9" s="13">
        <f>94.02*30</f>
        <v>2820.6</v>
      </c>
      <c r="G9" s="14" t="s">
        <v>16</v>
      </c>
      <c r="H9" s="8" t="s">
        <v>17</v>
      </c>
    </row>
    <row r="10" spans="1:9" ht="27" thickBot="1" x14ac:dyDescent="0.3">
      <c r="A10" s="10" t="s">
        <v>34</v>
      </c>
      <c r="B10" s="11" t="s">
        <v>14</v>
      </c>
      <c r="C10" s="12">
        <v>50350</v>
      </c>
      <c r="D10" s="108" t="s">
        <v>33</v>
      </c>
      <c r="E10" s="109"/>
      <c r="F10" s="13">
        <f>F9</f>
        <v>2820.6</v>
      </c>
      <c r="G10" s="14" t="s">
        <v>16</v>
      </c>
      <c r="H10" s="8" t="s">
        <v>17</v>
      </c>
    </row>
    <row r="11" spans="1:9" ht="15.75" thickBot="1" x14ac:dyDescent="0.3">
      <c r="A11" s="10"/>
      <c r="B11" s="11"/>
      <c r="C11" s="12"/>
      <c r="D11" s="116"/>
      <c r="E11" s="117"/>
      <c r="F11" s="53">
        <f>SUM(F9:F10)</f>
        <v>5641.2</v>
      </c>
      <c r="G11" s="54"/>
      <c r="H11" s="8"/>
    </row>
    <row r="12" spans="1:9" x14ac:dyDescent="0.25">
      <c r="A12" s="24" t="s">
        <v>20</v>
      </c>
      <c r="B12" s="25" t="s">
        <v>7</v>
      </c>
      <c r="C12" s="26" t="s">
        <v>21</v>
      </c>
      <c r="D12" s="26" t="s">
        <v>22</v>
      </c>
      <c r="E12" s="26"/>
      <c r="F12" s="26" t="s">
        <v>23</v>
      </c>
      <c r="G12" s="26"/>
      <c r="H12" s="27"/>
    </row>
    <row r="13" spans="1:9" x14ac:dyDescent="0.25">
      <c r="A13" s="28"/>
      <c r="B13" s="29"/>
      <c r="C13" s="2"/>
      <c r="D13" s="2"/>
      <c r="E13" s="2"/>
      <c r="F13" s="2"/>
      <c r="G13" s="2"/>
      <c r="H13" s="30"/>
    </row>
    <row r="14" spans="1:9" ht="15.75" thickBot="1" x14ac:dyDescent="0.3">
      <c r="A14" s="31"/>
      <c r="B14" s="32"/>
      <c r="C14" s="32"/>
      <c r="D14" s="32"/>
      <c r="E14" s="32"/>
      <c r="F14" s="32"/>
      <c r="G14" s="32"/>
      <c r="H14" s="33"/>
    </row>
    <row r="15" spans="1:9" x14ac:dyDescent="0.25">
      <c r="A15" s="34"/>
      <c r="B15" s="35"/>
      <c r="C15" s="36"/>
      <c r="D15" s="36"/>
      <c r="E15" s="36"/>
      <c r="F15" s="36"/>
      <c r="G15" s="36"/>
      <c r="H15" s="36"/>
    </row>
    <row r="16" spans="1:9" x14ac:dyDescent="0.25">
      <c r="A16" s="37" t="s">
        <v>24</v>
      </c>
      <c r="B16" s="38"/>
      <c r="C16" s="38"/>
      <c r="D16" s="38"/>
      <c r="E16" s="38"/>
      <c r="F16" s="39"/>
      <c r="G16" s="40"/>
      <c r="H16" s="36"/>
    </row>
    <row r="17" spans="1:8" x14ac:dyDescent="0.25">
      <c r="A17" s="38" t="s">
        <v>25</v>
      </c>
      <c r="B17" s="37" t="s">
        <v>35</v>
      </c>
      <c r="C17" s="38"/>
      <c r="D17" s="38"/>
      <c r="E17" s="38"/>
      <c r="F17" s="38"/>
      <c r="G17" s="38"/>
      <c r="H17" s="36"/>
    </row>
    <row r="18" spans="1:8" x14ac:dyDescent="0.25">
      <c r="A18" s="38" t="s">
        <v>27</v>
      </c>
      <c r="B18" s="37"/>
      <c r="C18" s="38"/>
      <c r="D18" s="38"/>
      <c r="E18" s="38"/>
      <c r="F18" s="38"/>
      <c r="G18" s="38"/>
      <c r="H18" s="42"/>
    </row>
    <row r="19" spans="1:8" x14ac:dyDescent="0.25">
      <c r="A19" s="43" t="s">
        <v>28</v>
      </c>
      <c r="B19" s="37" t="s">
        <v>29</v>
      </c>
      <c r="C19" s="38"/>
      <c r="D19" s="55"/>
      <c r="E19" s="38"/>
      <c r="F19" s="38"/>
      <c r="G19" s="38"/>
      <c r="H19" s="34"/>
    </row>
    <row r="20" spans="1:8" x14ac:dyDescent="0.25">
      <c r="A20" s="38" t="s">
        <v>30</v>
      </c>
      <c r="B20" s="113" t="s">
        <v>36</v>
      </c>
      <c r="C20" s="114"/>
      <c r="D20" s="114"/>
      <c r="E20" s="114"/>
      <c r="F20" s="114"/>
      <c r="G20" s="114"/>
      <c r="H20" s="34"/>
    </row>
    <row r="21" spans="1:8" x14ac:dyDescent="0.25">
      <c r="A21" s="44"/>
      <c r="B21" s="45"/>
      <c r="C21" s="46"/>
      <c r="D21" s="47"/>
      <c r="E21" s="48"/>
      <c r="F21" s="39"/>
      <c r="G21" s="40"/>
      <c r="H21" s="36"/>
    </row>
    <row r="22" spans="1:8" x14ac:dyDescent="0.25">
      <c r="A22" s="49"/>
      <c r="B22" s="50"/>
      <c r="C22" s="51"/>
      <c r="D22" s="40"/>
      <c r="E22" s="36"/>
      <c r="F22" s="39"/>
      <c r="G22" s="40"/>
      <c r="H22" s="36"/>
    </row>
    <row r="23" spans="1:8" x14ac:dyDescent="0.25">
      <c r="A23" s="52"/>
      <c r="B23" s="42"/>
      <c r="C23" s="42"/>
      <c r="D23" s="42"/>
      <c r="E23" s="42"/>
      <c r="F23" s="42"/>
      <c r="G23" s="40"/>
      <c r="H23" s="36"/>
    </row>
    <row r="24" spans="1:8" x14ac:dyDescent="0.25">
      <c r="A24" s="42"/>
      <c r="B24" s="52"/>
      <c r="C24" s="42"/>
      <c r="D24" s="42"/>
      <c r="E24" s="42"/>
      <c r="F24" s="42"/>
      <c r="G24" s="42"/>
      <c r="H24" s="42"/>
    </row>
    <row r="25" spans="1:8" x14ac:dyDescent="0.25">
      <c r="A25" s="42"/>
      <c r="B25" s="52"/>
      <c r="C25" s="42"/>
      <c r="D25" s="42"/>
      <c r="E25" s="42"/>
      <c r="F25" s="42"/>
      <c r="G25" s="34"/>
      <c r="H25" s="34"/>
    </row>
    <row r="26" spans="1:8" x14ac:dyDescent="0.25">
      <c r="A26" s="34"/>
      <c r="B26" s="52"/>
      <c r="C26" s="42"/>
      <c r="D26" s="42"/>
      <c r="E26" s="42"/>
      <c r="F26" s="42"/>
      <c r="G26" s="34"/>
      <c r="H26" s="34"/>
    </row>
    <row r="27" spans="1:8" x14ac:dyDescent="0.25">
      <c r="A27" s="42"/>
      <c r="B27" s="102"/>
      <c r="C27" s="103"/>
      <c r="D27" s="103"/>
      <c r="E27" s="103"/>
      <c r="F27" s="42"/>
      <c r="G27" s="42"/>
      <c r="H27" s="42"/>
    </row>
  </sheetData>
  <mergeCells count="7">
    <mergeCell ref="B27:E27"/>
    <mergeCell ref="F6:G6"/>
    <mergeCell ref="D8:E8"/>
    <mergeCell ref="D9:E9"/>
    <mergeCell ref="D10:E10"/>
    <mergeCell ref="D11:E11"/>
    <mergeCell ref="B20:G20"/>
  </mergeCells>
  <pageMargins left="0.7" right="0.7" top="0.78740157499999996" bottom="0.78740157499999996" header="0.3" footer="0.3"/>
  <pageSetup paperSize="9" scale="68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I26"/>
  <sheetViews>
    <sheetView zoomScaleNormal="100" workbookViewId="0">
      <selection activeCell="H26" sqref="H26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10" t="s">
        <v>37</v>
      </c>
      <c r="B9" s="11" t="s">
        <v>14</v>
      </c>
      <c r="C9" s="12">
        <v>50350</v>
      </c>
      <c r="D9" s="108" t="s">
        <v>38</v>
      </c>
      <c r="E9" s="109"/>
      <c r="F9" s="13">
        <f>94.02*30</f>
        <v>2820.6</v>
      </c>
      <c r="G9" s="14" t="s">
        <v>16</v>
      </c>
      <c r="H9" s="8" t="s">
        <v>17</v>
      </c>
    </row>
    <row r="10" spans="1:9" ht="22.5" customHeight="1" thickBot="1" x14ac:dyDescent="0.3">
      <c r="A10" s="17"/>
      <c r="B10" s="18" t="s">
        <v>7</v>
      </c>
      <c r="C10" s="19"/>
      <c r="D10" s="111"/>
      <c r="E10" s="112"/>
      <c r="F10" s="21">
        <f>SUM(F9:F9)</f>
        <v>2820.6</v>
      </c>
      <c r="G10" s="22"/>
      <c r="H10" s="23"/>
    </row>
    <row r="11" spans="1:9" x14ac:dyDescent="0.25">
      <c r="A11" s="24" t="s">
        <v>20</v>
      </c>
      <c r="B11" s="25" t="s">
        <v>7</v>
      </c>
      <c r="C11" s="26" t="s">
        <v>21</v>
      </c>
      <c r="D11" s="26" t="s">
        <v>22</v>
      </c>
      <c r="E11" s="26"/>
      <c r="F11" s="26" t="s">
        <v>23</v>
      </c>
      <c r="G11" s="26"/>
      <c r="H11" s="27"/>
    </row>
    <row r="12" spans="1:9" x14ac:dyDescent="0.25">
      <c r="A12" s="28"/>
      <c r="B12" s="29"/>
      <c r="C12" s="2"/>
      <c r="D12" s="2"/>
      <c r="E12" s="2"/>
      <c r="F12" s="2"/>
      <c r="G12" s="2"/>
      <c r="H12" s="30"/>
    </row>
    <row r="13" spans="1:9" ht="15.75" thickBot="1" x14ac:dyDescent="0.3">
      <c r="A13" s="31"/>
      <c r="B13" s="32"/>
      <c r="C13" s="32"/>
      <c r="D13" s="32"/>
      <c r="E13" s="32"/>
      <c r="F13" s="32"/>
      <c r="G13" s="32"/>
      <c r="H13" s="33"/>
    </row>
    <row r="14" spans="1:9" x14ac:dyDescent="0.25">
      <c r="A14" s="34"/>
      <c r="B14" s="35"/>
      <c r="C14" s="36"/>
      <c r="D14" s="36"/>
      <c r="E14" s="36"/>
      <c r="F14" s="36"/>
      <c r="G14" s="36"/>
      <c r="H14" s="36"/>
    </row>
    <row r="15" spans="1:9" x14ac:dyDescent="0.25">
      <c r="A15" s="37" t="s">
        <v>24</v>
      </c>
      <c r="B15" s="38"/>
      <c r="C15" s="38"/>
      <c r="D15" s="38"/>
      <c r="E15" s="38"/>
      <c r="F15" s="39"/>
      <c r="G15" s="40"/>
      <c r="H15" s="36"/>
    </row>
    <row r="16" spans="1:9" x14ac:dyDescent="0.25">
      <c r="A16" s="38" t="s">
        <v>25</v>
      </c>
      <c r="B16" s="37" t="s">
        <v>39</v>
      </c>
      <c r="C16" s="38"/>
      <c r="D16" s="38"/>
      <c r="E16" s="38"/>
      <c r="F16" s="38"/>
      <c r="G16" s="38"/>
      <c r="H16" s="36"/>
    </row>
    <row r="17" spans="1:8" x14ac:dyDescent="0.25">
      <c r="A17" s="38" t="s">
        <v>27</v>
      </c>
      <c r="B17" s="37"/>
      <c r="C17" s="38"/>
      <c r="D17" s="38"/>
      <c r="E17" s="38"/>
      <c r="F17" s="38"/>
      <c r="G17" s="38"/>
      <c r="H17" s="42"/>
    </row>
    <row r="18" spans="1:8" x14ac:dyDescent="0.25">
      <c r="A18" s="43" t="s">
        <v>28</v>
      </c>
      <c r="B18" s="37" t="s">
        <v>29</v>
      </c>
      <c r="C18" s="38"/>
      <c r="D18" s="55"/>
      <c r="E18" s="38"/>
      <c r="F18" s="38"/>
      <c r="G18" s="38"/>
      <c r="H18" s="34"/>
    </row>
    <row r="19" spans="1:8" x14ac:dyDescent="0.25">
      <c r="A19" s="38" t="s">
        <v>30</v>
      </c>
      <c r="B19" s="113" t="s">
        <v>40</v>
      </c>
      <c r="C19" s="114"/>
      <c r="D19" s="114"/>
      <c r="E19" s="114"/>
      <c r="F19" s="114"/>
      <c r="G19" s="114"/>
      <c r="H19" s="34"/>
    </row>
    <row r="20" spans="1:8" x14ac:dyDescent="0.25">
      <c r="A20" s="44"/>
      <c r="B20" s="45"/>
      <c r="C20" s="46"/>
      <c r="D20" s="47"/>
      <c r="E20" s="48"/>
      <c r="F20" s="39"/>
      <c r="G20" s="40"/>
      <c r="H20" s="36"/>
    </row>
    <row r="21" spans="1:8" x14ac:dyDescent="0.25">
      <c r="A21" s="49"/>
      <c r="B21" s="50"/>
      <c r="C21" s="51"/>
      <c r="D21" s="40"/>
      <c r="E21" s="36"/>
      <c r="F21" s="39"/>
      <c r="G21" s="40"/>
      <c r="H21" s="36"/>
    </row>
    <row r="22" spans="1:8" x14ac:dyDescent="0.25">
      <c r="A22" s="52"/>
      <c r="B22" s="42"/>
      <c r="C22" s="42"/>
      <c r="D22" s="42"/>
      <c r="E22" s="42"/>
      <c r="F22" s="42"/>
      <c r="G22" s="40"/>
      <c r="H22" s="36"/>
    </row>
    <row r="23" spans="1:8" x14ac:dyDescent="0.25">
      <c r="A23" s="42"/>
      <c r="B23" s="52"/>
      <c r="C23" s="42"/>
      <c r="D23" s="42"/>
      <c r="E23" s="42"/>
      <c r="F23" s="42"/>
      <c r="G23" s="42"/>
      <c r="H23" s="42"/>
    </row>
    <row r="24" spans="1:8" x14ac:dyDescent="0.25">
      <c r="A24" s="42"/>
      <c r="B24" s="52"/>
      <c r="C24" s="42"/>
      <c r="D24" s="42"/>
      <c r="E24" s="42"/>
      <c r="F24" s="42"/>
      <c r="G24" s="34"/>
      <c r="H24" s="34"/>
    </row>
    <row r="25" spans="1:8" x14ac:dyDescent="0.25">
      <c r="A25" s="34"/>
      <c r="B25" s="52"/>
      <c r="C25" s="42"/>
      <c r="D25" s="42"/>
      <c r="E25" s="42"/>
      <c r="F25" s="42"/>
      <c r="G25" s="34"/>
      <c r="H25" s="34"/>
    </row>
    <row r="26" spans="1:8" x14ac:dyDescent="0.25">
      <c r="A26" s="42"/>
      <c r="B26" s="102"/>
      <c r="C26" s="103"/>
      <c r="D26" s="103"/>
      <c r="E26" s="103"/>
      <c r="F26" s="42"/>
      <c r="G26" s="42"/>
      <c r="H26" s="42"/>
    </row>
  </sheetData>
  <mergeCells count="6">
    <mergeCell ref="B26:E26"/>
    <mergeCell ref="F6:G6"/>
    <mergeCell ref="D8:E8"/>
    <mergeCell ref="D9:E9"/>
    <mergeCell ref="D10:E10"/>
    <mergeCell ref="B19:G19"/>
  </mergeCells>
  <pageMargins left="0.7" right="0.7" top="0.78740157499999996" bottom="0.78740157499999996" header="0.3" footer="0.3"/>
  <pageSetup paperSize="9" scale="68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I27"/>
  <sheetViews>
    <sheetView view="pageBreakPreview" zoomScale="60" zoomScaleNormal="100" workbookViewId="0">
      <selection activeCell="F10" sqref="F10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3" max="253" width="33.28515625" customWidth="1"/>
    <col min="254" max="254" width="8.5703125" customWidth="1"/>
    <col min="255" max="255" width="9.28515625" customWidth="1"/>
    <col min="257" max="257" width="8" customWidth="1"/>
    <col min="258" max="258" width="7.42578125" customWidth="1"/>
    <col min="259" max="259" width="7.85546875" customWidth="1"/>
    <col min="260" max="260" width="9" customWidth="1"/>
    <col min="261" max="261" width="8.5703125" customWidth="1"/>
    <col min="262" max="262" width="9.7109375" customWidth="1"/>
    <col min="263" max="263" width="11.28515625" customWidth="1"/>
    <col min="509" max="509" width="33.28515625" customWidth="1"/>
    <col min="510" max="510" width="8.5703125" customWidth="1"/>
    <col min="511" max="511" width="9.28515625" customWidth="1"/>
    <col min="513" max="513" width="8" customWidth="1"/>
    <col min="514" max="514" width="7.42578125" customWidth="1"/>
    <col min="515" max="515" width="7.85546875" customWidth="1"/>
    <col min="516" max="516" width="9" customWidth="1"/>
    <col min="517" max="517" width="8.5703125" customWidth="1"/>
    <col min="518" max="518" width="9.7109375" customWidth="1"/>
    <col min="519" max="519" width="11.28515625" customWidth="1"/>
    <col min="765" max="765" width="33.28515625" customWidth="1"/>
    <col min="766" max="766" width="8.5703125" customWidth="1"/>
    <col min="767" max="767" width="9.28515625" customWidth="1"/>
    <col min="769" max="769" width="8" customWidth="1"/>
    <col min="770" max="770" width="7.42578125" customWidth="1"/>
    <col min="771" max="771" width="7.85546875" customWidth="1"/>
    <col min="772" max="772" width="9" customWidth="1"/>
    <col min="773" max="773" width="8.5703125" customWidth="1"/>
    <col min="774" max="774" width="9.7109375" customWidth="1"/>
    <col min="775" max="775" width="11.28515625" customWidth="1"/>
    <col min="1021" max="1021" width="33.28515625" customWidth="1"/>
    <col min="1022" max="1022" width="8.5703125" customWidth="1"/>
    <col min="1023" max="1023" width="9.28515625" customWidth="1"/>
    <col min="1025" max="1025" width="8" customWidth="1"/>
    <col min="1026" max="1026" width="7.42578125" customWidth="1"/>
    <col min="1027" max="1027" width="7.85546875" customWidth="1"/>
    <col min="1028" max="1028" width="9" customWidth="1"/>
    <col min="1029" max="1029" width="8.5703125" customWidth="1"/>
    <col min="1030" max="1030" width="9.7109375" customWidth="1"/>
    <col min="1031" max="1031" width="11.28515625" customWidth="1"/>
    <col min="1277" max="1277" width="33.28515625" customWidth="1"/>
    <col min="1278" max="1278" width="8.5703125" customWidth="1"/>
    <col min="1279" max="1279" width="9.28515625" customWidth="1"/>
    <col min="1281" max="1281" width="8" customWidth="1"/>
    <col min="1282" max="1282" width="7.42578125" customWidth="1"/>
    <col min="1283" max="1283" width="7.85546875" customWidth="1"/>
    <col min="1284" max="1284" width="9" customWidth="1"/>
    <col min="1285" max="1285" width="8.5703125" customWidth="1"/>
    <col min="1286" max="1286" width="9.7109375" customWidth="1"/>
    <col min="1287" max="1287" width="11.28515625" customWidth="1"/>
    <col min="1533" max="1533" width="33.28515625" customWidth="1"/>
    <col min="1534" max="1534" width="8.5703125" customWidth="1"/>
    <col min="1535" max="1535" width="9.28515625" customWidth="1"/>
    <col min="1537" max="1537" width="8" customWidth="1"/>
    <col min="1538" max="1538" width="7.42578125" customWidth="1"/>
    <col min="1539" max="1539" width="7.85546875" customWidth="1"/>
    <col min="1540" max="1540" width="9" customWidth="1"/>
    <col min="1541" max="1541" width="8.5703125" customWidth="1"/>
    <col min="1542" max="1542" width="9.7109375" customWidth="1"/>
    <col min="1543" max="1543" width="11.28515625" customWidth="1"/>
    <col min="1789" max="1789" width="33.28515625" customWidth="1"/>
    <col min="1790" max="1790" width="8.5703125" customWidth="1"/>
    <col min="1791" max="1791" width="9.28515625" customWidth="1"/>
    <col min="1793" max="1793" width="8" customWidth="1"/>
    <col min="1794" max="1794" width="7.42578125" customWidth="1"/>
    <col min="1795" max="1795" width="7.85546875" customWidth="1"/>
    <col min="1796" max="1796" width="9" customWidth="1"/>
    <col min="1797" max="1797" width="8.5703125" customWidth="1"/>
    <col min="1798" max="1798" width="9.7109375" customWidth="1"/>
    <col min="1799" max="1799" width="11.28515625" customWidth="1"/>
    <col min="2045" max="2045" width="33.28515625" customWidth="1"/>
    <col min="2046" max="2046" width="8.5703125" customWidth="1"/>
    <col min="2047" max="2047" width="9.28515625" customWidth="1"/>
    <col min="2049" max="2049" width="8" customWidth="1"/>
    <col min="2050" max="2050" width="7.42578125" customWidth="1"/>
    <col min="2051" max="2051" width="7.85546875" customWidth="1"/>
    <col min="2052" max="2052" width="9" customWidth="1"/>
    <col min="2053" max="2053" width="8.5703125" customWidth="1"/>
    <col min="2054" max="2054" width="9.7109375" customWidth="1"/>
    <col min="2055" max="2055" width="11.28515625" customWidth="1"/>
    <col min="2301" max="2301" width="33.28515625" customWidth="1"/>
    <col min="2302" max="2302" width="8.5703125" customWidth="1"/>
    <col min="2303" max="2303" width="9.28515625" customWidth="1"/>
    <col min="2305" max="2305" width="8" customWidth="1"/>
    <col min="2306" max="2306" width="7.42578125" customWidth="1"/>
    <col min="2307" max="2307" width="7.85546875" customWidth="1"/>
    <col min="2308" max="2308" width="9" customWidth="1"/>
    <col min="2309" max="2309" width="8.5703125" customWidth="1"/>
    <col min="2310" max="2310" width="9.7109375" customWidth="1"/>
    <col min="2311" max="2311" width="11.28515625" customWidth="1"/>
    <col min="2557" max="2557" width="33.28515625" customWidth="1"/>
    <col min="2558" max="2558" width="8.5703125" customWidth="1"/>
    <col min="2559" max="2559" width="9.28515625" customWidth="1"/>
    <col min="2561" max="2561" width="8" customWidth="1"/>
    <col min="2562" max="2562" width="7.42578125" customWidth="1"/>
    <col min="2563" max="2563" width="7.85546875" customWidth="1"/>
    <col min="2564" max="2564" width="9" customWidth="1"/>
    <col min="2565" max="2565" width="8.5703125" customWidth="1"/>
    <col min="2566" max="2566" width="9.7109375" customWidth="1"/>
    <col min="2567" max="2567" width="11.28515625" customWidth="1"/>
    <col min="2813" max="2813" width="33.28515625" customWidth="1"/>
    <col min="2814" max="2814" width="8.5703125" customWidth="1"/>
    <col min="2815" max="2815" width="9.28515625" customWidth="1"/>
    <col min="2817" max="2817" width="8" customWidth="1"/>
    <col min="2818" max="2818" width="7.42578125" customWidth="1"/>
    <col min="2819" max="2819" width="7.85546875" customWidth="1"/>
    <col min="2820" max="2820" width="9" customWidth="1"/>
    <col min="2821" max="2821" width="8.5703125" customWidth="1"/>
    <col min="2822" max="2822" width="9.7109375" customWidth="1"/>
    <col min="2823" max="2823" width="11.28515625" customWidth="1"/>
    <col min="3069" max="3069" width="33.28515625" customWidth="1"/>
    <col min="3070" max="3070" width="8.5703125" customWidth="1"/>
    <col min="3071" max="3071" width="9.28515625" customWidth="1"/>
    <col min="3073" max="3073" width="8" customWidth="1"/>
    <col min="3074" max="3074" width="7.42578125" customWidth="1"/>
    <col min="3075" max="3075" width="7.85546875" customWidth="1"/>
    <col min="3076" max="3076" width="9" customWidth="1"/>
    <col min="3077" max="3077" width="8.5703125" customWidth="1"/>
    <col min="3078" max="3078" width="9.7109375" customWidth="1"/>
    <col min="3079" max="3079" width="11.28515625" customWidth="1"/>
    <col min="3325" max="3325" width="33.28515625" customWidth="1"/>
    <col min="3326" max="3326" width="8.5703125" customWidth="1"/>
    <col min="3327" max="3327" width="9.28515625" customWidth="1"/>
    <col min="3329" max="3329" width="8" customWidth="1"/>
    <col min="3330" max="3330" width="7.42578125" customWidth="1"/>
    <col min="3331" max="3331" width="7.85546875" customWidth="1"/>
    <col min="3332" max="3332" width="9" customWidth="1"/>
    <col min="3333" max="3333" width="8.5703125" customWidth="1"/>
    <col min="3334" max="3334" width="9.7109375" customWidth="1"/>
    <col min="3335" max="3335" width="11.28515625" customWidth="1"/>
    <col min="3581" max="3581" width="33.28515625" customWidth="1"/>
    <col min="3582" max="3582" width="8.5703125" customWidth="1"/>
    <col min="3583" max="3583" width="9.28515625" customWidth="1"/>
    <col min="3585" max="3585" width="8" customWidth="1"/>
    <col min="3586" max="3586" width="7.42578125" customWidth="1"/>
    <col min="3587" max="3587" width="7.85546875" customWidth="1"/>
    <col min="3588" max="3588" width="9" customWidth="1"/>
    <col min="3589" max="3589" width="8.5703125" customWidth="1"/>
    <col min="3590" max="3590" width="9.7109375" customWidth="1"/>
    <col min="3591" max="3591" width="11.28515625" customWidth="1"/>
    <col min="3837" max="3837" width="33.28515625" customWidth="1"/>
    <col min="3838" max="3838" width="8.5703125" customWidth="1"/>
    <col min="3839" max="3839" width="9.28515625" customWidth="1"/>
    <col min="3841" max="3841" width="8" customWidth="1"/>
    <col min="3842" max="3842" width="7.42578125" customWidth="1"/>
    <col min="3843" max="3843" width="7.85546875" customWidth="1"/>
    <col min="3844" max="3844" width="9" customWidth="1"/>
    <col min="3845" max="3845" width="8.5703125" customWidth="1"/>
    <col min="3846" max="3846" width="9.7109375" customWidth="1"/>
    <col min="3847" max="3847" width="11.28515625" customWidth="1"/>
    <col min="4093" max="4093" width="33.28515625" customWidth="1"/>
    <col min="4094" max="4094" width="8.5703125" customWidth="1"/>
    <col min="4095" max="4095" width="9.28515625" customWidth="1"/>
    <col min="4097" max="4097" width="8" customWidth="1"/>
    <col min="4098" max="4098" width="7.42578125" customWidth="1"/>
    <col min="4099" max="4099" width="7.85546875" customWidth="1"/>
    <col min="4100" max="4100" width="9" customWidth="1"/>
    <col min="4101" max="4101" width="8.5703125" customWidth="1"/>
    <col min="4102" max="4102" width="9.7109375" customWidth="1"/>
    <col min="4103" max="4103" width="11.28515625" customWidth="1"/>
    <col min="4349" max="4349" width="33.28515625" customWidth="1"/>
    <col min="4350" max="4350" width="8.5703125" customWidth="1"/>
    <col min="4351" max="4351" width="9.28515625" customWidth="1"/>
    <col min="4353" max="4353" width="8" customWidth="1"/>
    <col min="4354" max="4354" width="7.42578125" customWidth="1"/>
    <col min="4355" max="4355" width="7.85546875" customWidth="1"/>
    <col min="4356" max="4356" width="9" customWidth="1"/>
    <col min="4357" max="4357" width="8.5703125" customWidth="1"/>
    <col min="4358" max="4358" width="9.7109375" customWidth="1"/>
    <col min="4359" max="4359" width="11.28515625" customWidth="1"/>
    <col min="4605" max="4605" width="33.28515625" customWidth="1"/>
    <col min="4606" max="4606" width="8.5703125" customWidth="1"/>
    <col min="4607" max="4607" width="9.28515625" customWidth="1"/>
    <col min="4609" max="4609" width="8" customWidth="1"/>
    <col min="4610" max="4610" width="7.42578125" customWidth="1"/>
    <col min="4611" max="4611" width="7.85546875" customWidth="1"/>
    <col min="4612" max="4612" width="9" customWidth="1"/>
    <col min="4613" max="4613" width="8.5703125" customWidth="1"/>
    <col min="4614" max="4614" width="9.7109375" customWidth="1"/>
    <col min="4615" max="4615" width="11.28515625" customWidth="1"/>
    <col min="4861" max="4861" width="33.28515625" customWidth="1"/>
    <col min="4862" max="4862" width="8.5703125" customWidth="1"/>
    <col min="4863" max="4863" width="9.28515625" customWidth="1"/>
    <col min="4865" max="4865" width="8" customWidth="1"/>
    <col min="4866" max="4866" width="7.42578125" customWidth="1"/>
    <col min="4867" max="4867" width="7.85546875" customWidth="1"/>
    <col min="4868" max="4868" width="9" customWidth="1"/>
    <col min="4869" max="4869" width="8.5703125" customWidth="1"/>
    <col min="4870" max="4870" width="9.7109375" customWidth="1"/>
    <col min="4871" max="4871" width="11.28515625" customWidth="1"/>
    <col min="5117" max="5117" width="33.28515625" customWidth="1"/>
    <col min="5118" max="5118" width="8.5703125" customWidth="1"/>
    <col min="5119" max="5119" width="9.28515625" customWidth="1"/>
    <col min="5121" max="5121" width="8" customWidth="1"/>
    <col min="5122" max="5122" width="7.42578125" customWidth="1"/>
    <col min="5123" max="5123" width="7.85546875" customWidth="1"/>
    <col min="5124" max="5124" width="9" customWidth="1"/>
    <col min="5125" max="5125" width="8.5703125" customWidth="1"/>
    <col min="5126" max="5126" width="9.7109375" customWidth="1"/>
    <col min="5127" max="5127" width="11.28515625" customWidth="1"/>
    <col min="5373" max="5373" width="33.28515625" customWidth="1"/>
    <col min="5374" max="5374" width="8.5703125" customWidth="1"/>
    <col min="5375" max="5375" width="9.28515625" customWidth="1"/>
    <col min="5377" max="5377" width="8" customWidth="1"/>
    <col min="5378" max="5378" width="7.42578125" customWidth="1"/>
    <col min="5379" max="5379" width="7.85546875" customWidth="1"/>
    <col min="5380" max="5380" width="9" customWidth="1"/>
    <col min="5381" max="5381" width="8.5703125" customWidth="1"/>
    <col min="5382" max="5382" width="9.7109375" customWidth="1"/>
    <col min="5383" max="5383" width="11.28515625" customWidth="1"/>
    <col min="5629" max="5629" width="33.28515625" customWidth="1"/>
    <col min="5630" max="5630" width="8.5703125" customWidth="1"/>
    <col min="5631" max="5631" width="9.28515625" customWidth="1"/>
    <col min="5633" max="5633" width="8" customWidth="1"/>
    <col min="5634" max="5634" width="7.42578125" customWidth="1"/>
    <col min="5635" max="5635" width="7.85546875" customWidth="1"/>
    <col min="5636" max="5636" width="9" customWidth="1"/>
    <col min="5637" max="5637" width="8.5703125" customWidth="1"/>
    <col min="5638" max="5638" width="9.7109375" customWidth="1"/>
    <col min="5639" max="5639" width="11.28515625" customWidth="1"/>
    <col min="5885" max="5885" width="33.28515625" customWidth="1"/>
    <col min="5886" max="5886" width="8.5703125" customWidth="1"/>
    <col min="5887" max="5887" width="9.28515625" customWidth="1"/>
    <col min="5889" max="5889" width="8" customWidth="1"/>
    <col min="5890" max="5890" width="7.42578125" customWidth="1"/>
    <col min="5891" max="5891" width="7.85546875" customWidth="1"/>
    <col min="5892" max="5892" width="9" customWidth="1"/>
    <col min="5893" max="5893" width="8.5703125" customWidth="1"/>
    <col min="5894" max="5894" width="9.7109375" customWidth="1"/>
    <col min="5895" max="5895" width="11.28515625" customWidth="1"/>
    <col min="6141" max="6141" width="33.28515625" customWidth="1"/>
    <col min="6142" max="6142" width="8.5703125" customWidth="1"/>
    <col min="6143" max="6143" width="9.28515625" customWidth="1"/>
    <col min="6145" max="6145" width="8" customWidth="1"/>
    <col min="6146" max="6146" width="7.42578125" customWidth="1"/>
    <col min="6147" max="6147" width="7.85546875" customWidth="1"/>
    <col min="6148" max="6148" width="9" customWidth="1"/>
    <col min="6149" max="6149" width="8.5703125" customWidth="1"/>
    <col min="6150" max="6150" width="9.7109375" customWidth="1"/>
    <col min="6151" max="6151" width="11.28515625" customWidth="1"/>
    <col min="6397" max="6397" width="33.28515625" customWidth="1"/>
    <col min="6398" max="6398" width="8.5703125" customWidth="1"/>
    <col min="6399" max="6399" width="9.28515625" customWidth="1"/>
    <col min="6401" max="6401" width="8" customWidth="1"/>
    <col min="6402" max="6402" width="7.42578125" customWidth="1"/>
    <col min="6403" max="6403" width="7.85546875" customWidth="1"/>
    <col min="6404" max="6404" width="9" customWidth="1"/>
    <col min="6405" max="6405" width="8.5703125" customWidth="1"/>
    <col min="6406" max="6406" width="9.7109375" customWidth="1"/>
    <col min="6407" max="6407" width="11.28515625" customWidth="1"/>
    <col min="6653" max="6653" width="33.28515625" customWidth="1"/>
    <col min="6654" max="6654" width="8.5703125" customWidth="1"/>
    <col min="6655" max="6655" width="9.28515625" customWidth="1"/>
    <col min="6657" max="6657" width="8" customWidth="1"/>
    <col min="6658" max="6658" width="7.42578125" customWidth="1"/>
    <col min="6659" max="6659" width="7.85546875" customWidth="1"/>
    <col min="6660" max="6660" width="9" customWidth="1"/>
    <col min="6661" max="6661" width="8.5703125" customWidth="1"/>
    <col min="6662" max="6662" width="9.7109375" customWidth="1"/>
    <col min="6663" max="6663" width="11.28515625" customWidth="1"/>
    <col min="6909" max="6909" width="33.28515625" customWidth="1"/>
    <col min="6910" max="6910" width="8.5703125" customWidth="1"/>
    <col min="6911" max="6911" width="9.28515625" customWidth="1"/>
    <col min="6913" max="6913" width="8" customWidth="1"/>
    <col min="6914" max="6914" width="7.42578125" customWidth="1"/>
    <col min="6915" max="6915" width="7.85546875" customWidth="1"/>
    <col min="6916" max="6916" width="9" customWidth="1"/>
    <col min="6917" max="6917" width="8.5703125" customWidth="1"/>
    <col min="6918" max="6918" width="9.7109375" customWidth="1"/>
    <col min="6919" max="6919" width="11.28515625" customWidth="1"/>
    <col min="7165" max="7165" width="33.28515625" customWidth="1"/>
    <col min="7166" max="7166" width="8.5703125" customWidth="1"/>
    <col min="7167" max="7167" width="9.28515625" customWidth="1"/>
    <col min="7169" max="7169" width="8" customWidth="1"/>
    <col min="7170" max="7170" width="7.42578125" customWidth="1"/>
    <col min="7171" max="7171" width="7.85546875" customWidth="1"/>
    <col min="7172" max="7172" width="9" customWidth="1"/>
    <col min="7173" max="7173" width="8.5703125" customWidth="1"/>
    <col min="7174" max="7174" width="9.7109375" customWidth="1"/>
    <col min="7175" max="7175" width="11.28515625" customWidth="1"/>
    <col min="7421" max="7421" width="33.28515625" customWidth="1"/>
    <col min="7422" max="7422" width="8.5703125" customWidth="1"/>
    <col min="7423" max="7423" width="9.28515625" customWidth="1"/>
    <col min="7425" max="7425" width="8" customWidth="1"/>
    <col min="7426" max="7426" width="7.42578125" customWidth="1"/>
    <col min="7427" max="7427" width="7.85546875" customWidth="1"/>
    <col min="7428" max="7428" width="9" customWidth="1"/>
    <col min="7429" max="7429" width="8.5703125" customWidth="1"/>
    <col min="7430" max="7430" width="9.7109375" customWidth="1"/>
    <col min="7431" max="7431" width="11.28515625" customWidth="1"/>
    <col min="7677" max="7677" width="33.28515625" customWidth="1"/>
    <col min="7678" max="7678" width="8.5703125" customWidth="1"/>
    <col min="7679" max="7679" width="9.28515625" customWidth="1"/>
    <col min="7681" max="7681" width="8" customWidth="1"/>
    <col min="7682" max="7682" width="7.42578125" customWidth="1"/>
    <col min="7683" max="7683" width="7.85546875" customWidth="1"/>
    <col min="7684" max="7684" width="9" customWidth="1"/>
    <col min="7685" max="7685" width="8.5703125" customWidth="1"/>
    <col min="7686" max="7686" width="9.7109375" customWidth="1"/>
    <col min="7687" max="7687" width="11.28515625" customWidth="1"/>
    <col min="7933" max="7933" width="33.28515625" customWidth="1"/>
    <col min="7934" max="7934" width="8.5703125" customWidth="1"/>
    <col min="7935" max="7935" width="9.28515625" customWidth="1"/>
    <col min="7937" max="7937" width="8" customWidth="1"/>
    <col min="7938" max="7938" width="7.42578125" customWidth="1"/>
    <col min="7939" max="7939" width="7.85546875" customWidth="1"/>
    <col min="7940" max="7940" width="9" customWidth="1"/>
    <col min="7941" max="7941" width="8.5703125" customWidth="1"/>
    <col min="7942" max="7942" width="9.7109375" customWidth="1"/>
    <col min="7943" max="7943" width="11.28515625" customWidth="1"/>
    <col min="8189" max="8189" width="33.28515625" customWidth="1"/>
    <col min="8190" max="8190" width="8.5703125" customWidth="1"/>
    <col min="8191" max="8191" width="9.28515625" customWidth="1"/>
    <col min="8193" max="8193" width="8" customWidth="1"/>
    <col min="8194" max="8194" width="7.42578125" customWidth="1"/>
    <col min="8195" max="8195" width="7.85546875" customWidth="1"/>
    <col min="8196" max="8196" width="9" customWidth="1"/>
    <col min="8197" max="8197" width="8.5703125" customWidth="1"/>
    <col min="8198" max="8198" width="9.7109375" customWidth="1"/>
    <col min="8199" max="8199" width="11.28515625" customWidth="1"/>
    <col min="8445" max="8445" width="33.28515625" customWidth="1"/>
    <col min="8446" max="8446" width="8.5703125" customWidth="1"/>
    <col min="8447" max="8447" width="9.28515625" customWidth="1"/>
    <col min="8449" max="8449" width="8" customWidth="1"/>
    <col min="8450" max="8450" width="7.42578125" customWidth="1"/>
    <col min="8451" max="8451" width="7.85546875" customWidth="1"/>
    <col min="8452" max="8452" width="9" customWidth="1"/>
    <col min="8453" max="8453" width="8.5703125" customWidth="1"/>
    <col min="8454" max="8454" width="9.7109375" customWidth="1"/>
    <col min="8455" max="8455" width="11.28515625" customWidth="1"/>
    <col min="8701" max="8701" width="33.28515625" customWidth="1"/>
    <col min="8702" max="8702" width="8.5703125" customWidth="1"/>
    <col min="8703" max="8703" width="9.28515625" customWidth="1"/>
    <col min="8705" max="8705" width="8" customWidth="1"/>
    <col min="8706" max="8706" width="7.42578125" customWidth="1"/>
    <col min="8707" max="8707" width="7.85546875" customWidth="1"/>
    <col min="8708" max="8708" width="9" customWidth="1"/>
    <col min="8709" max="8709" width="8.5703125" customWidth="1"/>
    <col min="8710" max="8710" width="9.7109375" customWidth="1"/>
    <col min="8711" max="8711" width="11.28515625" customWidth="1"/>
    <col min="8957" max="8957" width="33.28515625" customWidth="1"/>
    <col min="8958" max="8958" width="8.5703125" customWidth="1"/>
    <col min="8959" max="8959" width="9.28515625" customWidth="1"/>
    <col min="8961" max="8961" width="8" customWidth="1"/>
    <col min="8962" max="8962" width="7.42578125" customWidth="1"/>
    <col min="8963" max="8963" width="7.85546875" customWidth="1"/>
    <col min="8964" max="8964" width="9" customWidth="1"/>
    <col min="8965" max="8965" width="8.5703125" customWidth="1"/>
    <col min="8966" max="8966" width="9.7109375" customWidth="1"/>
    <col min="8967" max="8967" width="11.28515625" customWidth="1"/>
    <col min="9213" max="9213" width="33.28515625" customWidth="1"/>
    <col min="9214" max="9214" width="8.5703125" customWidth="1"/>
    <col min="9215" max="9215" width="9.28515625" customWidth="1"/>
    <col min="9217" max="9217" width="8" customWidth="1"/>
    <col min="9218" max="9218" width="7.42578125" customWidth="1"/>
    <col min="9219" max="9219" width="7.85546875" customWidth="1"/>
    <col min="9220" max="9220" width="9" customWidth="1"/>
    <col min="9221" max="9221" width="8.5703125" customWidth="1"/>
    <col min="9222" max="9222" width="9.7109375" customWidth="1"/>
    <col min="9223" max="9223" width="11.28515625" customWidth="1"/>
    <col min="9469" max="9469" width="33.28515625" customWidth="1"/>
    <col min="9470" max="9470" width="8.5703125" customWidth="1"/>
    <col min="9471" max="9471" width="9.28515625" customWidth="1"/>
    <col min="9473" max="9473" width="8" customWidth="1"/>
    <col min="9474" max="9474" width="7.42578125" customWidth="1"/>
    <col min="9475" max="9475" width="7.85546875" customWidth="1"/>
    <col min="9476" max="9476" width="9" customWidth="1"/>
    <col min="9477" max="9477" width="8.5703125" customWidth="1"/>
    <col min="9478" max="9478" width="9.7109375" customWidth="1"/>
    <col min="9479" max="9479" width="11.28515625" customWidth="1"/>
    <col min="9725" max="9725" width="33.28515625" customWidth="1"/>
    <col min="9726" max="9726" width="8.5703125" customWidth="1"/>
    <col min="9727" max="9727" width="9.28515625" customWidth="1"/>
    <col min="9729" max="9729" width="8" customWidth="1"/>
    <col min="9730" max="9730" width="7.42578125" customWidth="1"/>
    <col min="9731" max="9731" width="7.85546875" customWidth="1"/>
    <col min="9732" max="9732" width="9" customWidth="1"/>
    <col min="9733" max="9733" width="8.5703125" customWidth="1"/>
    <col min="9734" max="9734" width="9.7109375" customWidth="1"/>
    <col min="9735" max="9735" width="11.28515625" customWidth="1"/>
    <col min="9981" max="9981" width="33.28515625" customWidth="1"/>
    <col min="9982" max="9982" width="8.5703125" customWidth="1"/>
    <col min="9983" max="9983" width="9.28515625" customWidth="1"/>
    <col min="9985" max="9985" width="8" customWidth="1"/>
    <col min="9986" max="9986" width="7.42578125" customWidth="1"/>
    <col min="9987" max="9987" width="7.85546875" customWidth="1"/>
    <col min="9988" max="9988" width="9" customWidth="1"/>
    <col min="9989" max="9989" width="8.5703125" customWidth="1"/>
    <col min="9990" max="9990" width="9.7109375" customWidth="1"/>
    <col min="9991" max="9991" width="11.28515625" customWidth="1"/>
    <col min="10237" max="10237" width="33.28515625" customWidth="1"/>
    <col min="10238" max="10238" width="8.5703125" customWidth="1"/>
    <col min="10239" max="10239" width="9.28515625" customWidth="1"/>
    <col min="10241" max="10241" width="8" customWidth="1"/>
    <col min="10242" max="10242" width="7.42578125" customWidth="1"/>
    <col min="10243" max="10243" width="7.85546875" customWidth="1"/>
    <col min="10244" max="10244" width="9" customWidth="1"/>
    <col min="10245" max="10245" width="8.5703125" customWidth="1"/>
    <col min="10246" max="10246" width="9.7109375" customWidth="1"/>
    <col min="10247" max="10247" width="11.28515625" customWidth="1"/>
    <col min="10493" max="10493" width="33.28515625" customWidth="1"/>
    <col min="10494" max="10494" width="8.5703125" customWidth="1"/>
    <col min="10495" max="10495" width="9.28515625" customWidth="1"/>
    <col min="10497" max="10497" width="8" customWidth="1"/>
    <col min="10498" max="10498" width="7.42578125" customWidth="1"/>
    <col min="10499" max="10499" width="7.85546875" customWidth="1"/>
    <col min="10500" max="10500" width="9" customWidth="1"/>
    <col min="10501" max="10501" width="8.5703125" customWidth="1"/>
    <col min="10502" max="10502" width="9.7109375" customWidth="1"/>
    <col min="10503" max="10503" width="11.28515625" customWidth="1"/>
    <col min="10749" max="10749" width="33.28515625" customWidth="1"/>
    <col min="10750" max="10750" width="8.5703125" customWidth="1"/>
    <col min="10751" max="10751" width="9.28515625" customWidth="1"/>
    <col min="10753" max="10753" width="8" customWidth="1"/>
    <col min="10754" max="10754" width="7.42578125" customWidth="1"/>
    <col min="10755" max="10755" width="7.85546875" customWidth="1"/>
    <col min="10756" max="10756" width="9" customWidth="1"/>
    <col min="10757" max="10757" width="8.5703125" customWidth="1"/>
    <col min="10758" max="10758" width="9.7109375" customWidth="1"/>
    <col min="10759" max="10759" width="11.28515625" customWidth="1"/>
    <col min="11005" max="11005" width="33.28515625" customWidth="1"/>
    <col min="11006" max="11006" width="8.5703125" customWidth="1"/>
    <col min="11007" max="11007" width="9.28515625" customWidth="1"/>
    <col min="11009" max="11009" width="8" customWidth="1"/>
    <col min="11010" max="11010" width="7.42578125" customWidth="1"/>
    <col min="11011" max="11011" width="7.85546875" customWidth="1"/>
    <col min="11012" max="11012" width="9" customWidth="1"/>
    <col min="11013" max="11013" width="8.5703125" customWidth="1"/>
    <col min="11014" max="11014" width="9.7109375" customWidth="1"/>
    <col min="11015" max="11015" width="11.28515625" customWidth="1"/>
    <col min="11261" max="11261" width="33.28515625" customWidth="1"/>
    <col min="11262" max="11262" width="8.5703125" customWidth="1"/>
    <col min="11263" max="11263" width="9.28515625" customWidth="1"/>
    <col min="11265" max="11265" width="8" customWidth="1"/>
    <col min="11266" max="11266" width="7.42578125" customWidth="1"/>
    <col min="11267" max="11267" width="7.85546875" customWidth="1"/>
    <col min="11268" max="11268" width="9" customWidth="1"/>
    <col min="11269" max="11269" width="8.5703125" customWidth="1"/>
    <col min="11270" max="11270" width="9.7109375" customWidth="1"/>
    <col min="11271" max="11271" width="11.28515625" customWidth="1"/>
    <col min="11517" max="11517" width="33.28515625" customWidth="1"/>
    <col min="11518" max="11518" width="8.5703125" customWidth="1"/>
    <col min="11519" max="11519" width="9.28515625" customWidth="1"/>
    <col min="11521" max="11521" width="8" customWidth="1"/>
    <col min="11522" max="11522" width="7.42578125" customWidth="1"/>
    <col min="11523" max="11523" width="7.85546875" customWidth="1"/>
    <col min="11524" max="11524" width="9" customWidth="1"/>
    <col min="11525" max="11525" width="8.5703125" customWidth="1"/>
    <col min="11526" max="11526" width="9.7109375" customWidth="1"/>
    <col min="11527" max="11527" width="11.28515625" customWidth="1"/>
    <col min="11773" max="11773" width="33.28515625" customWidth="1"/>
    <col min="11774" max="11774" width="8.5703125" customWidth="1"/>
    <col min="11775" max="11775" width="9.28515625" customWidth="1"/>
    <col min="11777" max="11777" width="8" customWidth="1"/>
    <col min="11778" max="11778" width="7.42578125" customWidth="1"/>
    <col min="11779" max="11779" width="7.85546875" customWidth="1"/>
    <col min="11780" max="11780" width="9" customWidth="1"/>
    <col min="11781" max="11781" width="8.5703125" customWidth="1"/>
    <col min="11782" max="11782" width="9.7109375" customWidth="1"/>
    <col min="11783" max="11783" width="11.28515625" customWidth="1"/>
    <col min="12029" max="12029" width="33.28515625" customWidth="1"/>
    <col min="12030" max="12030" width="8.5703125" customWidth="1"/>
    <col min="12031" max="12031" width="9.28515625" customWidth="1"/>
    <col min="12033" max="12033" width="8" customWidth="1"/>
    <col min="12034" max="12034" width="7.42578125" customWidth="1"/>
    <col min="12035" max="12035" width="7.85546875" customWidth="1"/>
    <col min="12036" max="12036" width="9" customWidth="1"/>
    <col min="12037" max="12037" width="8.5703125" customWidth="1"/>
    <col min="12038" max="12038" width="9.7109375" customWidth="1"/>
    <col min="12039" max="12039" width="11.28515625" customWidth="1"/>
    <col min="12285" max="12285" width="33.28515625" customWidth="1"/>
    <col min="12286" max="12286" width="8.5703125" customWidth="1"/>
    <col min="12287" max="12287" width="9.28515625" customWidth="1"/>
    <col min="12289" max="12289" width="8" customWidth="1"/>
    <col min="12290" max="12290" width="7.42578125" customWidth="1"/>
    <col min="12291" max="12291" width="7.85546875" customWidth="1"/>
    <col min="12292" max="12292" width="9" customWidth="1"/>
    <col min="12293" max="12293" width="8.5703125" customWidth="1"/>
    <col min="12294" max="12294" width="9.7109375" customWidth="1"/>
    <col min="12295" max="12295" width="11.28515625" customWidth="1"/>
    <col min="12541" max="12541" width="33.28515625" customWidth="1"/>
    <col min="12542" max="12542" width="8.5703125" customWidth="1"/>
    <col min="12543" max="12543" width="9.28515625" customWidth="1"/>
    <col min="12545" max="12545" width="8" customWidth="1"/>
    <col min="12546" max="12546" width="7.42578125" customWidth="1"/>
    <col min="12547" max="12547" width="7.85546875" customWidth="1"/>
    <col min="12548" max="12548" width="9" customWidth="1"/>
    <col min="12549" max="12549" width="8.5703125" customWidth="1"/>
    <col min="12550" max="12550" width="9.7109375" customWidth="1"/>
    <col min="12551" max="12551" width="11.28515625" customWidth="1"/>
    <col min="12797" max="12797" width="33.28515625" customWidth="1"/>
    <col min="12798" max="12798" width="8.5703125" customWidth="1"/>
    <col min="12799" max="12799" width="9.28515625" customWidth="1"/>
    <col min="12801" max="12801" width="8" customWidth="1"/>
    <col min="12802" max="12802" width="7.42578125" customWidth="1"/>
    <col min="12803" max="12803" width="7.85546875" customWidth="1"/>
    <col min="12804" max="12804" width="9" customWidth="1"/>
    <col min="12805" max="12805" width="8.5703125" customWidth="1"/>
    <col min="12806" max="12806" width="9.7109375" customWidth="1"/>
    <col min="12807" max="12807" width="11.28515625" customWidth="1"/>
    <col min="13053" max="13053" width="33.28515625" customWidth="1"/>
    <col min="13054" max="13054" width="8.5703125" customWidth="1"/>
    <col min="13055" max="13055" width="9.28515625" customWidth="1"/>
    <col min="13057" max="13057" width="8" customWidth="1"/>
    <col min="13058" max="13058" width="7.42578125" customWidth="1"/>
    <col min="13059" max="13059" width="7.85546875" customWidth="1"/>
    <col min="13060" max="13060" width="9" customWidth="1"/>
    <col min="13061" max="13061" width="8.5703125" customWidth="1"/>
    <col min="13062" max="13062" width="9.7109375" customWidth="1"/>
    <col min="13063" max="13063" width="11.28515625" customWidth="1"/>
    <col min="13309" max="13309" width="33.28515625" customWidth="1"/>
    <col min="13310" max="13310" width="8.5703125" customWidth="1"/>
    <col min="13311" max="13311" width="9.28515625" customWidth="1"/>
    <col min="13313" max="13313" width="8" customWidth="1"/>
    <col min="13314" max="13314" width="7.42578125" customWidth="1"/>
    <col min="13315" max="13315" width="7.85546875" customWidth="1"/>
    <col min="13316" max="13316" width="9" customWidth="1"/>
    <col min="13317" max="13317" width="8.5703125" customWidth="1"/>
    <col min="13318" max="13318" width="9.7109375" customWidth="1"/>
    <col min="13319" max="13319" width="11.28515625" customWidth="1"/>
    <col min="13565" max="13565" width="33.28515625" customWidth="1"/>
    <col min="13566" max="13566" width="8.5703125" customWidth="1"/>
    <col min="13567" max="13567" width="9.28515625" customWidth="1"/>
    <col min="13569" max="13569" width="8" customWidth="1"/>
    <col min="13570" max="13570" width="7.42578125" customWidth="1"/>
    <col min="13571" max="13571" width="7.85546875" customWidth="1"/>
    <col min="13572" max="13572" width="9" customWidth="1"/>
    <col min="13573" max="13573" width="8.5703125" customWidth="1"/>
    <col min="13574" max="13574" width="9.7109375" customWidth="1"/>
    <col min="13575" max="13575" width="11.28515625" customWidth="1"/>
    <col min="13821" max="13821" width="33.28515625" customWidth="1"/>
    <col min="13822" max="13822" width="8.5703125" customWidth="1"/>
    <col min="13823" max="13823" width="9.28515625" customWidth="1"/>
    <col min="13825" max="13825" width="8" customWidth="1"/>
    <col min="13826" max="13826" width="7.42578125" customWidth="1"/>
    <col min="13827" max="13827" width="7.85546875" customWidth="1"/>
    <col min="13828" max="13828" width="9" customWidth="1"/>
    <col min="13829" max="13829" width="8.5703125" customWidth="1"/>
    <col min="13830" max="13830" width="9.7109375" customWidth="1"/>
    <col min="13831" max="13831" width="11.28515625" customWidth="1"/>
    <col min="14077" max="14077" width="33.28515625" customWidth="1"/>
    <col min="14078" max="14078" width="8.5703125" customWidth="1"/>
    <col min="14079" max="14079" width="9.28515625" customWidth="1"/>
    <col min="14081" max="14081" width="8" customWidth="1"/>
    <col min="14082" max="14082" width="7.42578125" customWidth="1"/>
    <col min="14083" max="14083" width="7.85546875" customWidth="1"/>
    <col min="14084" max="14084" width="9" customWidth="1"/>
    <col min="14085" max="14085" width="8.5703125" customWidth="1"/>
    <col min="14086" max="14086" width="9.7109375" customWidth="1"/>
    <col min="14087" max="14087" width="11.28515625" customWidth="1"/>
    <col min="14333" max="14333" width="33.28515625" customWidth="1"/>
    <col min="14334" max="14334" width="8.5703125" customWidth="1"/>
    <col min="14335" max="14335" width="9.28515625" customWidth="1"/>
    <col min="14337" max="14337" width="8" customWidth="1"/>
    <col min="14338" max="14338" width="7.42578125" customWidth="1"/>
    <col min="14339" max="14339" width="7.85546875" customWidth="1"/>
    <col min="14340" max="14340" width="9" customWidth="1"/>
    <col min="14341" max="14341" width="8.5703125" customWidth="1"/>
    <col min="14342" max="14342" width="9.7109375" customWidth="1"/>
    <col min="14343" max="14343" width="11.28515625" customWidth="1"/>
    <col min="14589" max="14589" width="33.28515625" customWidth="1"/>
    <col min="14590" max="14590" width="8.5703125" customWidth="1"/>
    <col min="14591" max="14591" width="9.28515625" customWidth="1"/>
    <col min="14593" max="14593" width="8" customWidth="1"/>
    <col min="14594" max="14594" width="7.42578125" customWidth="1"/>
    <col min="14595" max="14595" width="7.85546875" customWidth="1"/>
    <col min="14596" max="14596" width="9" customWidth="1"/>
    <col min="14597" max="14597" width="8.5703125" customWidth="1"/>
    <col min="14598" max="14598" width="9.7109375" customWidth="1"/>
    <col min="14599" max="14599" width="11.28515625" customWidth="1"/>
    <col min="14845" max="14845" width="33.28515625" customWidth="1"/>
    <col min="14846" max="14846" width="8.5703125" customWidth="1"/>
    <col min="14847" max="14847" width="9.28515625" customWidth="1"/>
    <col min="14849" max="14849" width="8" customWidth="1"/>
    <col min="14850" max="14850" width="7.42578125" customWidth="1"/>
    <col min="14851" max="14851" width="7.85546875" customWidth="1"/>
    <col min="14852" max="14852" width="9" customWidth="1"/>
    <col min="14853" max="14853" width="8.5703125" customWidth="1"/>
    <col min="14854" max="14854" width="9.7109375" customWidth="1"/>
    <col min="14855" max="14855" width="11.28515625" customWidth="1"/>
    <col min="15101" max="15101" width="33.28515625" customWidth="1"/>
    <col min="15102" max="15102" width="8.5703125" customWidth="1"/>
    <col min="15103" max="15103" width="9.28515625" customWidth="1"/>
    <col min="15105" max="15105" width="8" customWidth="1"/>
    <col min="15106" max="15106" width="7.42578125" customWidth="1"/>
    <col min="15107" max="15107" width="7.85546875" customWidth="1"/>
    <col min="15108" max="15108" width="9" customWidth="1"/>
    <col min="15109" max="15109" width="8.5703125" customWidth="1"/>
    <col min="15110" max="15110" width="9.7109375" customWidth="1"/>
    <col min="15111" max="15111" width="11.28515625" customWidth="1"/>
    <col min="15357" max="15357" width="33.28515625" customWidth="1"/>
    <col min="15358" max="15358" width="8.5703125" customWidth="1"/>
    <col min="15359" max="15359" width="9.28515625" customWidth="1"/>
    <col min="15361" max="15361" width="8" customWidth="1"/>
    <col min="15362" max="15362" width="7.42578125" customWidth="1"/>
    <col min="15363" max="15363" width="7.85546875" customWidth="1"/>
    <col min="15364" max="15364" width="9" customWidth="1"/>
    <col min="15365" max="15365" width="8.5703125" customWidth="1"/>
    <col min="15366" max="15366" width="9.7109375" customWidth="1"/>
    <col min="15367" max="15367" width="11.28515625" customWidth="1"/>
    <col min="15613" max="15613" width="33.28515625" customWidth="1"/>
    <col min="15614" max="15614" width="8.5703125" customWidth="1"/>
    <col min="15615" max="15615" width="9.28515625" customWidth="1"/>
    <col min="15617" max="15617" width="8" customWidth="1"/>
    <col min="15618" max="15618" width="7.42578125" customWidth="1"/>
    <col min="15619" max="15619" width="7.85546875" customWidth="1"/>
    <col min="15620" max="15620" width="9" customWidth="1"/>
    <col min="15621" max="15621" width="8.5703125" customWidth="1"/>
    <col min="15622" max="15622" width="9.7109375" customWidth="1"/>
    <col min="15623" max="15623" width="11.28515625" customWidth="1"/>
    <col min="15869" max="15869" width="33.28515625" customWidth="1"/>
    <col min="15870" max="15870" width="8.5703125" customWidth="1"/>
    <col min="15871" max="15871" width="9.28515625" customWidth="1"/>
    <col min="15873" max="15873" width="8" customWidth="1"/>
    <col min="15874" max="15874" width="7.42578125" customWidth="1"/>
    <col min="15875" max="15875" width="7.85546875" customWidth="1"/>
    <col min="15876" max="15876" width="9" customWidth="1"/>
    <col min="15877" max="15877" width="8.5703125" customWidth="1"/>
    <col min="15878" max="15878" width="9.7109375" customWidth="1"/>
    <col min="15879" max="15879" width="11.28515625" customWidth="1"/>
    <col min="16125" max="16125" width="33.28515625" customWidth="1"/>
    <col min="16126" max="16126" width="8.5703125" customWidth="1"/>
    <col min="16127" max="16127" width="9.28515625" customWidth="1"/>
    <col min="16129" max="16129" width="8" customWidth="1"/>
    <col min="16130" max="16130" width="7.42578125" customWidth="1"/>
    <col min="16131" max="16131" width="7.85546875" customWidth="1"/>
    <col min="16132" max="16132" width="9" customWidth="1"/>
    <col min="16133" max="16133" width="8.5703125" customWidth="1"/>
    <col min="16134" max="16134" width="9.7109375" customWidth="1"/>
    <col min="16135" max="16135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8.75" customHeight="1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39.75" thickBot="1" x14ac:dyDescent="0.3">
      <c r="A9" s="56" t="s">
        <v>41</v>
      </c>
      <c r="B9" s="11" t="s">
        <v>14</v>
      </c>
      <c r="C9" s="12">
        <v>50350</v>
      </c>
      <c r="D9" s="110" t="s">
        <v>42</v>
      </c>
      <c r="E9" s="109"/>
      <c r="F9" s="13">
        <f>94.02*30</f>
        <v>2820.6</v>
      </c>
      <c r="G9" s="14" t="s">
        <v>16</v>
      </c>
      <c r="H9" s="8" t="s">
        <v>17</v>
      </c>
    </row>
    <row r="10" spans="1:9" ht="39.75" thickBot="1" x14ac:dyDescent="0.3">
      <c r="A10" s="10" t="s">
        <v>43</v>
      </c>
      <c r="B10" s="11" t="s">
        <v>14</v>
      </c>
      <c r="C10" s="12">
        <v>50350</v>
      </c>
      <c r="D10" s="110" t="s">
        <v>44</v>
      </c>
      <c r="E10" s="109"/>
      <c r="F10" s="13">
        <f>94.02*3</f>
        <v>282.06</v>
      </c>
      <c r="G10" s="14" t="s">
        <v>16</v>
      </c>
      <c r="H10" s="8" t="s">
        <v>17</v>
      </c>
    </row>
    <row r="11" spans="1:9" ht="21" customHeight="1" thickBot="1" x14ac:dyDescent="0.3">
      <c r="A11" s="17"/>
      <c r="B11" s="18" t="s">
        <v>7</v>
      </c>
      <c r="C11" s="19"/>
      <c r="D11" s="118"/>
      <c r="E11" s="119"/>
      <c r="F11" s="21">
        <f>SUM(F9:F10)</f>
        <v>3102.66</v>
      </c>
      <c r="G11" s="22"/>
      <c r="H11" s="23"/>
    </row>
    <row r="12" spans="1:9" x14ac:dyDescent="0.25">
      <c r="A12" s="24" t="s">
        <v>20</v>
      </c>
      <c r="B12" s="25" t="s">
        <v>7</v>
      </c>
      <c r="C12" s="26" t="s">
        <v>21</v>
      </c>
      <c r="D12" s="26" t="s">
        <v>22</v>
      </c>
      <c r="E12" s="26"/>
      <c r="F12" s="26" t="s">
        <v>23</v>
      </c>
      <c r="G12" s="26"/>
      <c r="H12" s="27"/>
    </row>
    <row r="13" spans="1:9" x14ac:dyDescent="0.25">
      <c r="A13" s="28"/>
      <c r="B13" s="29"/>
      <c r="C13" s="2"/>
      <c r="D13" s="2"/>
      <c r="E13" s="2"/>
      <c r="F13" s="2"/>
      <c r="G13" s="2"/>
      <c r="H13" s="30"/>
    </row>
    <row r="14" spans="1:9" ht="15.75" thickBot="1" x14ac:dyDescent="0.3">
      <c r="A14" s="31"/>
      <c r="B14" s="32"/>
      <c r="C14" s="32"/>
      <c r="D14" s="32"/>
      <c r="E14" s="32"/>
      <c r="F14" s="32"/>
      <c r="G14" s="32"/>
      <c r="H14" s="33"/>
    </row>
    <row r="15" spans="1:9" x14ac:dyDescent="0.25">
      <c r="A15" s="34"/>
      <c r="B15" s="35"/>
      <c r="C15" s="36"/>
      <c r="D15" s="36"/>
      <c r="E15" s="36"/>
      <c r="F15" s="36"/>
      <c r="G15" s="36"/>
      <c r="H15" s="36"/>
    </row>
    <row r="16" spans="1:9" x14ac:dyDescent="0.25">
      <c r="A16" s="37" t="s">
        <v>24</v>
      </c>
      <c r="B16" s="38"/>
      <c r="C16" s="38"/>
      <c r="D16" s="38"/>
      <c r="E16" s="38"/>
      <c r="F16" s="39"/>
      <c r="G16" s="40"/>
      <c r="H16" s="36"/>
    </row>
    <row r="17" spans="1:8" x14ac:dyDescent="0.25">
      <c r="A17" s="38" t="s">
        <v>25</v>
      </c>
      <c r="B17" s="37" t="s">
        <v>45</v>
      </c>
      <c r="C17" s="38"/>
      <c r="D17" s="38"/>
      <c r="E17" s="38"/>
      <c r="F17" s="38"/>
      <c r="G17" s="38"/>
      <c r="H17" s="36"/>
    </row>
    <row r="18" spans="1:8" x14ac:dyDescent="0.25">
      <c r="A18" s="38" t="s">
        <v>27</v>
      </c>
      <c r="B18" s="37"/>
      <c r="C18" s="38"/>
      <c r="D18" s="38"/>
      <c r="E18" s="38"/>
      <c r="F18" s="38"/>
      <c r="G18" s="38"/>
      <c r="H18" s="42"/>
    </row>
    <row r="19" spans="1:8" x14ac:dyDescent="0.25">
      <c r="A19" s="43" t="s">
        <v>28</v>
      </c>
      <c r="B19" s="37" t="s">
        <v>29</v>
      </c>
      <c r="C19" s="38"/>
      <c r="D19" s="55"/>
    </row>
    <row r="20" spans="1:8" x14ac:dyDescent="0.25">
      <c r="A20" s="38" t="s">
        <v>30</v>
      </c>
      <c r="B20" s="113" t="s">
        <v>46</v>
      </c>
      <c r="C20" s="114"/>
      <c r="D20" s="114"/>
      <c r="E20" s="114"/>
      <c r="F20" s="114"/>
      <c r="G20" s="114"/>
      <c r="H20" s="34"/>
    </row>
    <row r="21" spans="1:8" x14ac:dyDescent="0.25">
      <c r="A21" s="44"/>
      <c r="B21" s="45"/>
      <c r="C21" s="46"/>
      <c r="D21" s="47"/>
      <c r="E21" s="48"/>
      <c r="F21" s="39"/>
      <c r="G21" s="40"/>
      <c r="H21" s="36"/>
    </row>
    <row r="22" spans="1:8" x14ac:dyDescent="0.25">
      <c r="A22" s="114"/>
      <c r="B22" s="114"/>
      <c r="C22" s="114"/>
      <c r="D22" s="114"/>
      <c r="E22" s="114"/>
      <c r="F22" s="114"/>
      <c r="G22" s="40"/>
      <c r="H22" s="36"/>
    </row>
    <row r="23" spans="1:8" x14ac:dyDescent="0.25">
      <c r="A23" s="77" t="s">
        <v>85</v>
      </c>
      <c r="B23" s="42"/>
      <c r="C23" s="42"/>
      <c r="D23" s="42"/>
      <c r="E23" s="42"/>
      <c r="F23" s="42"/>
      <c r="G23" s="40"/>
      <c r="H23" s="36"/>
    </row>
    <row r="24" spans="1:8" x14ac:dyDescent="0.25">
      <c r="A24" s="114"/>
      <c r="B24" s="114"/>
      <c r="C24" s="114"/>
      <c r="D24" s="114"/>
      <c r="E24" s="114"/>
      <c r="F24" s="114"/>
      <c r="G24" s="114"/>
      <c r="H24" s="114"/>
    </row>
    <row r="25" spans="1:8" x14ac:dyDescent="0.25">
      <c r="A25" s="114"/>
      <c r="B25" s="114"/>
      <c r="C25" s="114"/>
      <c r="D25" s="114"/>
      <c r="E25" s="114"/>
      <c r="F25" s="114"/>
      <c r="G25" s="114"/>
      <c r="H25" s="114"/>
    </row>
    <row r="26" spans="1:8" x14ac:dyDescent="0.25">
      <c r="A26" s="57"/>
      <c r="B26" s="52"/>
      <c r="C26" s="42"/>
      <c r="D26" s="42"/>
      <c r="E26" s="42"/>
      <c r="F26" s="42"/>
      <c r="G26" s="34"/>
      <c r="H26" s="34"/>
    </row>
    <row r="27" spans="1:8" x14ac:dyDescent="0.25">
      <c r="A27" s="58"/>
      <c r="B27" s="52"/>
      <c r="C27" s="42"/>
      <c r="D27" s="42"/>
      <c r="E27" s="42"/>
      <c r="F27" s="42"/>
      <c r="G27" s="42"/>
      <c r="H27" s="42"/>
    </row>
  </sheetData>
  <mergeCells count="9">
    <mergeCell ref="A22:F22"/>
    <mergeCell ref="A24:H24"/>
    <mergeCell ref="A25:H25"/>
    <mergeCell ref="F6:G6"/>
    <mergeCell ref="D8:E8"/>
    <mergeCell ref="D9:E9"/>
    <mergeCell ref="D10:E10"/>
    <mergeCell ref="D11:E11"/>
    <mergeCell ref="B20:G20"/>
  </mergeCells>
  <pageMargins left="0.7" right="0.7" top="0.78740157499999996" bottom="0.78740157499999996" header="0.3" footer="0.3"/>
  <pageSetup paperSize="9" scale="68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I26"/>
  <sheetViews>
    <sheetView view="pageBreakPreview" zoomScale="60" zoomScaleNormal="100" workbookViewId="0">
      <selection activeCell="F10" sqref="F10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10" t="s">
        <v>47</v>
      </c>
      <c r="B9" s="11" t="s">
        <v>14</v>
      </c>
      <c r="C9" s="12">
        <v>50350</v>
      </c>
      <c r="D9" s="110" t="s">
        <v>48</v>
      </c>
      <c r="E9" s="109"/>
      <c r="F9" s="13">
        <f>94.02*30</f>
        <v>2820.6</v>
      </c>
      <c r="G9" s="14" t="s">
        <v>16</v>
      </c>
      <c r="H9" s="8" t="s">
        <v>17</v>
      </c>
    </row>
    <row r="10" spans="1:9" ht="18" customHeight="1" thickBot="1" x14ac:dyDescent="0.3">
      <c r="A10" s="17"/>
      <c r="B10" s="18"/>
      <c r="C10" s="19"/>
      <c r="D10" s="111"/>
      <c r="E10" s="112"/>
      <c r="F10" s="21">
        <f>SUM(F9:F9)</f>
        <v>2820.6</v>
      </c>
      <c r="G10" s="22"/>
      <c r="H10" s="23"/>
    </row>
    <row r="11" spans="1:9" x14ac:dyDescent="0.25">
      <c r="A11" s="24" t="s">
        <v>20</v>
      </c>
      <c r="B11" s="25" t="s">
        <v>7</v>
      </c>
      <c r="C11" s="26" t="s">
        <v>21</v>
      </c>
      <c r="D11" s="26" t="s">
        <v>22</v>
      </c>
      <c r="E11" s="26"/>
      <c r="F11" s="26" t="s">
        <v>23</v>
      </c>
      <c r="G11" s="26"/>
      <c r="H11" s="27"/>
    </row>
    <row r="12" spans="1:9" x14ac:dyDescent="0.25">
      <c r="A12" s="28"/>
      <c r="B12" s="29"/>
      <c r="C12" s="2"/>
      <c r="D12" s="2"/>
      <c r="E12" s="2"/>
      <c r="F12" s="2"/>
      <c r="G12" s="2"/>
      <c r="H12" s="30"/>
    </row>
    <row r="13" spans="1:9" ht="15.75" thickBot="1" x14ac:dyDescent="0.3">
      <c r="A13" s="31"/>
      <c r="B13" s="32"/>
      <c r="C13" s="32"/>
      <c r="D13" s="32"/>
      <c r="E13" s="32"/>
      <c r="F13" s="32"/>
      <c r="G13" s="32"/>
      <c r="H13" s="33"/>
    </row>
    <row r="14" spans="1:9" x14ac:dyDescent="0.25">
      <c r="A14" s="34"/>
      <c r="B14" s="35"/>
      <c r="C14" s="36"/>
      <c r="D14" s="36"/>
      <c r="E14" s="36"/>
      <c r="F14" s="36"/>
      <c r="G14" s="36"/>
      <c r="H14" s="36"/>
    </row>
    <row r="15" spans="1:9" x14ac:dyDescent="0.25">
      <c r="A15" s="37" t="s">
        <v>24</v>
      </c>
      <c r="B15" s="38"/>
      <c r="C15" s="38"/>
      <c r="D15" s="38"/>
      <c r="E15" s="38"/>
      <c r="F15" s="39"/>
      <c r="G15" s="40"/>
      <c r="H15" s="36"/>
    </row>
    <row r="16" spans="1:9" x14ac:dyDescent="0.25">
      <c r="A16" s="38" t="s">
        <v>25</v>
      </c>
      <c r="B16" s="37" t="s">
        <v>49</v>
      </c>
      <c r="C16" s="38"/>
      <c r="D16" s="38"/>
      <c r="E16" s="38"/>
      <c r="F16" s="38"/>
      <c r="G16" s="38"/>
      <c r="H16" s="36"/>
    </row>
    <row r="17" spans="1:8" x14ac:dyDescent="0.25">
      <c r="A17" s="38" t="s">
        <v>27</v>
      </c>
      <c r="B17" s="37"/>
      <c r="C17" s="38"/>
      <c r="D17" s="38"/>
      <c r="E17" s="38"/>
      <c r="F17" s="38"/>
      <c r="G17" s="38"/>
      <c r="H17" s="42"/>
    </row>
    <row r="18" spans="1:8" x14ac:dyDescent="0.25">
      <c r="A18" s="43" t="s">
        <v>28</v>
      </c>
      <c r="B18" s="37" t="s">
        <v>29</v>
      </c>
      <c r="C18" s="38"/>
      <c r="D18" s="55"/>
      <c r="E18" s="38"/>
      <c r="F18" s="38"/>
      <c r="G18" s="38"/>
      <c r="H18" s="34"/>
    </row>
    <row r="19" spans="1:8" x14ac:dyDescent="0.25">
      <c r="A19" s="38" t="s">
        <v>30</v>
      </c>
      <c r="B19" s="113" t="s">
        <v>50</v>
      </c>
      <c r="C19" s="114"/>
      <c r="D19" s="114"/>
      <c r="E19" s="114"/>
      <c r="F19" s="114"/>
      <c r="G19" s="114"/>
      <c r="H19" s="34"/>
    </row>
    <row r="20" spans="1:8" x14ac:dyDescent="0.25">
      <c r="A20" s="44"/>
      <c r="B20" s="45"/>
      <c r="C20" s="46"/>
      <c r="D20" s="47"/>
      <c r="E20" s="48"/>
      <c r="F20" s="39"/>
      <c r="G20" s="40"/>
      <c r="H20" s="36"/>
    </row>
    <row r="21" spans="1:8" x14ac:dyDescent="0.25">
      <c r="A21" s="49"/>
      <c r="B21" s="50"/>
      <c r="C21" s="51"/>
      <c r="D21" s="40"/>
      <c r="E21" s="36"/>
      <c r="F21" s="39"/>
      <c r="G21" s="40"/>
      <c r="H21" s="36"/>
    </row>
    <row r="22" spans="1:8" x14ac:dyDescent="0.25">
      <c r="A22" s="52"/>
      <c r="B22" s="42"/>
      <c r="C22" s="42"/>
      <c r="D22" s="42"/>
      <c r="E22" s="42"/>
      <c r="F22" s="42"/>
      <c r="G22" s="40"/>
      <c r="H22" s="36"/>
    </row>
    <row r="23" spans="1:8" x14ac:dyDescent="0.25">
      <c r="A23" s="42"/>
      <c r="B23" s="52"/>
      <c r="C23" s="42"/>
      <c r="D23" s="42"/>
      <c r="E23" s="42"/>
      <c r="F23" s="42"/>
      <c r="G23" s="42"/>
      <c r="H23" s="42"/>
    </row>
    <row r="24" spans="1:8" x14ac:dyDescent="0.25">
      <c r="A24" s="42"/>
      <c r="B24" s="52"/>
      <c r="C24" s="42"/>
      <c r="D24" s="42"/>
      <c r="E24" s="42"/>
      <c r="F24" s="42"/>
      <c r="G24" s="34"/>
      <c r="H24" s="34"/>
    </row>
    <row r="25" spans="1:8" x14ac:dyDescent="0.25">
      <c r="A25" s="34"/>
      <c r="B25" s="52"/>
      <c r="C25" s="42"/>
      <c r="D25" s="42"/>
      <c r="E25" s="42"/>
      <c r="F25" s="42"/>
      <c r="G25" s="34"/>
      <c r="H25" s="34"/>
    </row>
    <row r="26" spans="1:8" x14ac:dyDescent="0.25">
      <c r="A26" s="42"/>
      <c r="B26" s="102"/>
      <c r="C26" s="103"/>
      <c r="D26" s="103"/>
      <c r="E26" s="103"/>
      <c r="F26" s="42"/>
      <c r="G26" s="42"/>
      <c r="H26" s="42"/>
    </row>
  </sheetData>
  <mergeCells count="6">
    <mergeCell ref="B26:E26"/>
    <mergeCell ref="F6:G6"/>
    <mergeCell ref="D8:E8"/>
    <mergeCell ref="D9:E9"/>
    <mergeCell ref="D10:E10"/>
    <mergeCell ref="B19:G19"/>
  </mergeCells>
  <pageMargins left="0.7" right="0.7" top="0.78740157499999996" bottom="0.78740157499999996" header="0.3" footer="0.3"/>
  <pageSetup paperSize="9" scale="68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I26"/>
  <sheetViews>
    <sheetView view="pageBreakPreview" zoomScale="60" zoomScaleNormal="100" workbookViewId="0">
      <selection activeCell="I23" sqref="I23:I24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9.5" customHeight="1" thickBot="1" x14ac:dyDescent="0.3">
      <c r="A7" s="2"/>
      <c r="B7" s="2"/>
      <c r="C7" s="2"/>
      <c r="D7" s="2"/>
      <c r="E7" s="2"/>
      <c r="F7" s="2"/>
      <c r="G7" s="2"/>
      <c r="H7" s="2"/>
    </row>
    <row r="8" spans="1:9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59" t="s">
        <v>51</v>
      </c>
      <c r="B9" s="11" t="s">
        <v>14</v>
      </c>
      <c r="C9" s="12">
        <v>50350</v>
      </c>
      <c r="D9" s="108" t="s">
        <v>52</v>
      </c>
      <c r="E9" s="109"/>
      <c r="F9" s="13">
        <f>94.02*30</f>
        <v>2820.6</v>
      </c>
      <c r="G9" s="14" t="s">
        <v>16</v>
      </c>
      <c r="H9" s="8" t="s">
        <v>17</v>
      </c>
    </row>
    <row r="10" spans="1:9" ht="19.5" customHeight="1" thickBot="1" x14ac:dyDescent="0.3">
      <c r="A10" s="17"/>
      <c r="B10" s="18" t="s">
        <v>7</v>
      </c>
      <c r="C10" s="19"/>
      <c r="D10" s="111"/>
      <c r="E10" s="112"/>
      <c r="F10" s="21"/>
      <c r="G10" s="22"/>
      <c r="H10" s="23"/>
    </row>
    <row r="11" spans="1:9" x14ac:dyDescent="0.25">
      <c r="A11" s="24" t="s">
        <v>20</v>
      </c>
      <c r="B11" s="25" t="s">
        <v>7</v>
      </c>
      <c r="C11" s="26" t="s">
        <v>21</v>
      </c>
      <c r="D11" s="26" t="s">
        <v>22</v>
      </c>
      <c r="E11" s="26"/>
      <c r="F11" s="26" t="s">
        <v>23</v>
      </c>
      <c r="G11" s="26"/>
      <c r="H11" s="27"/>
    </row>
    <row r="12" spans="1:9" x14ac:dyDescent="0.25">
      <c r="A12" s="28"/>
      <c r="B12" s="29"/>
      <c r="C12" s="2"/>
      <c r="D12" s="2"/>
      <c r="E12" s="2"/>
      <c r="F12" s="2"/>
      <c r="G12" s="2"/>
      <c r="H12" s="30"/>
    </row>
    <row r="13" spans="1:9" ht="15.75" thickBot="1" x14ac:dyDescent="0.3">
      <c r="A13" s="31"/>
      <c r="B13" s="32"/>
      <c r="C13" s="32"/>
      <c r="D13" s="32"/>
      <c r="E13" s="32"/>
      <c r="F13" s="32"/>
      <c r="G13" s="32"/>
      <c r="H13" s="33"/>
    </row>
    <row r="14" spans="1:9" x14ac:dyDescent="0.25">
      <c r="A14" s="34"/>
      <c r="B14" s="35"/>
      <c r="C14" s="36"/>
      <c r="D14" s="36"/>
      <c r="E14" s="36"/>
      <c r="F14" s="36"/>
      <c r="G14" s="36"/>
      <c r="H14" s="36"/>
    </row>
    <row r="15" spans="1:9" x14ac:dyDescent="0.25">
      <c r="A15" s="37" t="s">
        <v>24</v>
      </c>
      <c r="B15" s="38"/>
      <c r="C15" s="38"/>
      <c r="D15" s="38"/>
      <c r="E15" s="38"/>
      <c r="F15" s="39"/>
      <c r="G15" s="40"/>
      <c r="H15" s="36"/>
    </row>
    <row r="16" spans="1:9" x14ac:dyDescent="0.25">
      <c r="A16" s="38" t="s">
        <v>25</v>
      </c>
      <c r="B16" s="37" t="s">
        <v>53</v>
      </c>
      <c r="C16" s="38"/>
      <c r="D16" s="38"/>
      <c r="E16" s="38"/>
      <c r="F16" s="38"/>
      <c r="G16" s="38"/>
      <c r="H16" s="36"/>
    </row>
    <row r="17" spans="1:8" x14ac:dyDescent="0.25">
      <c r="A17" s="38" t="s">
        <v>27</v>
      </c>
      <c r="B17" s="37"/>
      <c r="C17" s="38"/>
      <c r="D17" s="38"/>
      <c r="E17" s="38"/>
      <c r="F17" s="38"/>
      <c r="G17" s="38"/>
      <c r="H17" s="42"/>
    </row>
    <row r="18" spans="1:8" x14ac:dyDescent="0.25">
      <c r="A18" s="43" t="s">
        <v>28</v>
      </c>
      <c r="B18" s="37" t="s">
        <v>54</v>
      </c>
      <c r="C18" s="38"/>
      <c r="D18" s="55"/>
      <c r="E18" s="38"/>
      <c r="F18" s="38"/>
      <c r="G18" s="38"/>
      <c r="H18" s="34"/>
    </row>
    <row r="19" spans="1:8" x14ac:dyDescent="0.25">
      <c r="A19" s="38" t="s">
        <v>30</v>
      </c>
      <c r="B19" s="113" t="s">
        <v>55</v>
      </c>
      <c r="C19" s="114"/>
      <c r="D19" s="114"/>
      <c r="E19" s="114"/>
      <c r="F19" s="114"/>
      <c r="G19" s="114"/>
      <c r="H19" s="34"/>
    </row>
    <row r="20" spans="1:8" x14ac:dyDescent="0.25">
      <c r="A20" s="44"/>
      <c r="B20" s="45"/>
      <c r="C20" s="46"/>
      <c r="D20" s="47"/>
      <c r="E20" s="48"/>
      <c r="F20" s="39"/>
      <c r="G20" s="40"/>
      <c r="H20" s="36"/>
    </row>
    <row r="21" spans="1:8" x14ac:dyDescent="0.25">
      <c r="A21" s="49"/>
      <c r="B21" s="50"/>
      <c r="C21" s="51"/>
      <c r="D21" s="40"/>
      <c r="E21" s="36"/>
      <c r="F21" s="39"/>
      <c r="G21" s="40"/>
      <c r="H21" s="36"/>
    </row>
    <row r="22" spans="1:8" x14ac:dyDescent="0.25">
      <c r="A22" s="52"/>
      <c r="B22" s="42"/>
      <c r="C22" s="42"/>
      <c r="D22" s="42"/>
      <c r="E22" s="42"/>
      <c r="F22" s="42"/>
      <c r="G22" s="40"/>
      <c r="H22" s="36"/>
    </row>
    <row r="23" spans="1:8" x14ac:dyDescent="0.25">
      <c r="A23" s="42"/>
      <c r="B23" s="52"/>
      <c r="C23" s="42"/>
      <c r="D23" s="42"/>
      <c r="E23" s="42"/>
      <c r="F23" s="42"/>
      <c r="G23" s="42"/>
      <c r="H23" s="42"/>
    </row>
    <row r="24" spans="1:8" x14ac:dyDescent="0.25">
      <c r="A24" s="42"/>
      <c r="B24" s="52"/>
      <c r="C24" s="42"/>
      <c r="D24" s="42"/>
      <c r="E24" s="42"/>
      <c r="F24" s="42"/>
      <c r="G24" s="34"/>
      <c r="H24" s="34"/>
    </row>
    <row r="25" spans="1:8" x14ac:dyDescent="0.25">
      <c r="A25" s="34"/>
      <c r="B25" s="52"/>
      <c r="C25" s="42"/>
      <c r="D25" s="42"/>
      <c r="E25" s="42"/>
      <c r="F25" s="42"/>
      <c r="G25" s="34"/>
      <c r="H25" s="34"/>
    </row>
    <row r="26" spans="1:8" x14ac:dyDescent="0.25">
      <c r="A26" s="42"/>
      <c r="B26" s="102"/>
      <c r="C26" s="103"/>
      <c r="D26" s="103"/>
      <c r="E26" s="103"/>
      <c r="F26" s="42"/>
      <c r="G26" s="42"/>
      <c r="H26" s="42"/>
    </row>
  </sheetData>
  <mergeCells count="6">
    <mergeCell ref="B26:E26"/>
    <mergeCell ref="F6:G6"/>
    <mergeCell ref="D8:E8"/>
    <mergeCell ref="D9:E9"/>
    <mergeCell ref="D10:E10"/>
    <mergeCell ref="B19:G19"/>
  </mergeCells>
  <hyperlinks>
    <hyperlink ref="B16" r:id="rId1" display="tel:05100110012996707054" xr:uid="{00000000-0004-0000-0500-000000000000}"/>
  </hyperlinks>
  <pageMargins left="0.7" right="0.7" top="0.78740157499999996" bottom="0.78740157499999996" header="0.3" footer="0.3"/>
  <pageSetup paperSize="9" scale="68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I27"/>
  <sheetViews>
    <sheetView zoomScaleNormal="100" workbookViewId="0">
      <selection activeCell="D24" sqref="D24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6" width="14.140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10" t="s">
        <v>56</v>
      </c>
      <c r="B9" s="11" t="s">
        <v>14</v>
      </c>
      <c r="C9" s="12">
        <v>50350</v>
      </c>
      <c r="D9" s="110" t="s">
        <v>57</v>
      </c>
      <c r="E9" s="109"/>
      <c r="F9" s="13">
        <f>94.02*30</f>
        <v>2820.6</v>
      </c>
      <c r="G9" s="14" t="s">
        <v>16</v>
      </c>
      <c r="H9" s="8" t="s">
        <v>17</v>
      </c>
    </row>
    <row r="10" spans="1:9" s="16" customFormat="1" ht="27" thickBot="1" x14ac:dyDescent="0.3">
      <c r="A10" s="10" t="s">
        <v>58</v>
      </c>
      <c r="B10" s="11" t="s">
        <v>59</v>
      </c>
      <c r="C10" s="12">
        <v>50350</v>
      </c>
      <c r="D10" s="110" t="s">
        <v>60</v>
      </c>
      <c r="E10" s="109"/>
      <c r="F10" s="13">
        <f>94.02*30</f>
        <v>2820.6</v>
      </c>
      <c r="G10" s="14" t="s">
        <v>16</v>
      </c>
      <c r="H10" s="8" t="s">
        <v>61</v>
      </c>
    </row>
    <row r="11" spans="1:9" ht="21" customHeight="1" thickBot="1" x14ac:dyDescent="0.3">
      <c r="A11" s="17"/>
      <c r="B11" s="18" t="s">
        <v>7</v>
      </c>
      <c r="C11" s="19"/>
      <c r="D11" s="111"/>
      <c r="E11" s="112"/>
      <c r="F11" s="21">
        <f>SUM(F9:F10)</f>
        <v>5641.2</v>
      </c>
      <c r="G11" s="22"/>
      <c r="H11" s="23"/>
    </row>
    <row r="12" spans="1:9" x14ac:dyDescent="0.25">
      <c r="A12" s="24" t="s">
        <v>20</v>
      </c>
      <c r="B12" s="25" t="s">
        <v>7</v>
      </c>
      <c r="C12" s="26" t="s">
        <v>21</v>
      </c>
      <c r="D12" s="26" t="s">
        <v>22</v>
      </c>
      <c r="E12" s="26"/>
      <c r="F12" s="26" t="s">
        <v>23</v>
      </c>
      <c r="G12" s="26"/>
      <c r="H12" s="27"/>
    </row>
    <row r="13" spans="1:9" x14ac:dyDescent="0.25">
      <c r="A13" s="28"/>
      <c r="B13" s="29"/>
      <c r="C13" s="2"/>
      <c r="D13" s="2"/>
      <c r="E13" s="2"/>
      <c r="F13" s="2"/>
      <c r="G13" s="2"/>
      <c r="H13" s="30"/>
    </row>
    <row r="14" spans="1:9" ht="15.75" thickBot="1" x14ac:dyDescent="0.3">
      <c r="A14" s="31"/>
      <c r="B14" s="32"/>
      <c r="C14" s="32"/>
      <c r="D14" s="32"/>
      <c r="E14" s="32"/>
      <c r="F14" s="32"/>
      <c r="G14" s="32"/>
      <c r="H14" s="33"/>
    </row>
    <row r="15" spans="1:9" x14ac:dyDescent="0.25">
      <c r="A15" s="34"/>
      <c r="B15" s="35"/>
      <c r="C15" s="36"/>
      <c r="D15" s="36"/>
      <c r="E15" s="36"/>
      <c r="F15" s="36"/>
      <c r="G15" s="36"/>
      <c r="H15" s="36"/>
    </row>
    <row r="16" spans="1:9" x14ac:dyDescent="0.25">
      <c r="A16" s="37" t="s">
        <v>24</v>
      </c>
      <c r="B16" s="38"/>
      <c r="C16" s="38"/>
      <c r="D16" s="38"/>
      <c r="E16" s="38"/>
      <c r="F16" s="39"/>
      <c r="G16" s="40"/>
      <c r="H16" s="36"/>
    </row>
    <row r="17" spans="1:8" x14ac:dyDescent="0.25">
      <c r="A17" s="38" t="s">
        <v>25</v>
      </c>
      <c r="B17" s="37" t="s">
        <v>62</v>
      </c>
      <c r="C17" s="38"/>
      <c r="D17" s="38"/>
      <c r="E17" s="38"/>
      <c r="F17" s="38"/>
      <c r="G17" s="38"/>
      <c r="H17" s="36"/>
    </row>
    <row r="18" spans="1:8" x14ac:dyDescent="0.25">
      <c r="A18" s="38" t="s">
        <v>27</v>
      </c>
      <c r="B18" s="37"/>
      <c r="C18" s="38"/>
      <c r="D18" s="38"/>
      <c r="E18" s="38"/>
      <c r="F18" s="38"/>
      <c r="G18" s="38"/>
      <c r="H18" s="42"/>
    </row>
    <row r="19" spans="1:8" x14ac:dyDescent="0.25">
      <c r="A19" s="43" t="s">
        <v>28</v>
      </c>
      <c r="B19" s="37" t="s">
        <v>29</v>
      </c>
      <c r="C19" s="38"/>
      <c r="D19" s="55"/>
      <c r="E19" s="38"/>
      <c r="F19" s="38"/>
      <c r="G19" s="38"/>
      <c r="H19" s="34"/>
    </row>
    <row r="20" spans="1:8" x14ac:dyDescent="0.25">
      <c r="A20" s="38" t="s">
        <v>30</v>
      </c>
      <c r="B20" s="113" t="s">
        <v>63</v>
      </c>
      <c r="C20" s="114"/>
      <c r="D20" s="114"/>
      <c r="E20" s="114"/>
      <c r="F20" s="114"/>
      <c r="G20" s="114"/>
      <c r="H20" s="34"/>
    </row>
    <row r="21" spans="1:8" x14ac:dyDescent="0.25">
      <c r="A21" s="44"/>
      <c r="B21" s="45"/>
      <c r="C21" s="46"/>
      <c r="D21" s="47"/>
      <c r="E21" s="48"/>
      <c r="F21" s="39"/>
      <c r="G21" s="40"/>
      <c r="H21" s="36"/>
    </row>
    <row r="22" spans="1:8" x14ac:dyDescent="0.25">
      <c r="A22" s="49"/>
      <c r="B22" s="50"/>
      <c r="C22" s="51"/>
      <c r="D22" s="40"/>
      <c r="E22" s="36"/>
      <c r="F22" s="39"/>
      <c r="G22" s="40"/>
      <c r="H22" s="36"/>
    </row>
    <row r="23" spans="1:8" x14ac:dyDescent="0.25">
      <c r="A23" s="52"/>
      <c r="B23" s="42"/>
      <c r="C23" s="42"/>
      <c r="D23" s="42"/>
      <c r="E23" s="42"/>
      <c r="F23" s="42"/>
      <c r="G23" s="40"/>
      <c r="H23" s="36"/>
    </row>
    <row r="24" spans="1:8" x14ac:dyDescent="0.25">
      <c r="A24" s="42"/>
      <c r="B24" s="52"/>
      <c r="C24" s="42"/>
      <c r="D24" s="42"/>
      <c r="E24" s="42"/>
      <c r="F24" s="42"/>
      <c r="G24" s="42"/>
      <c r="H24" s="42"/>
    </row>
    <row r="25" spans="1:8" x14ac:dyDescent="0.25">
      <c r="A25" s="42"/>
      <c r="B25" s="52"/>
      <c r="C25" s="42"/>
      <c r="D25" s="42"/>
      <c r="E25" s="42"/>
      <c r="F25" s="42"/>
      <c r="G25" s="34"/>
      <c r="H25" s="34"/>
    </row>
    <row r="26" spans="1:8" x14ac:dyDescent="0.25">
      <c r="A26" s="34"/>
      <c r="B26" s="52"/>
      <c r="C26" s="42"/>
      <c r="D26" s="42"/>
      <c r="E26" s="42"/>
      <c r="F26" s="42"/>
      <c r="G26" s="34"/>
      <c r="H26" s="34"/>
    </row>
    <row r="27" spans="1:8" x14ac:dyDescent="0.25">
      <c r="A27" s="42"/>
      <c r="B27" s="102"/>
      <c r="C27" s="103"/>
      <c r="D27" s="103"/>
      <c r="E27" s="103"/>
      <c r="F27" s="42"/>
      <c r="G27" s="42"/>
      <c r="H27" s="42"/>
    </row>
  </sheetData>
  <mergeCells count="7">
    <mergeCell ref="B27:E27"/>
    <mergeCell ref="F6:G6"/>
    <mergeCell ref="D8:E8"/>
    <mergeCell ref="D9:E9"/>
    <mergeCell ref="D10:E10"/>
    <mergeCell ref="D11:E11"/>
    <mergeCell ref="B20:G20"/>
  </mergeCells>
  <pageMargins left="0.7" right="0.7" top="0.78740157499999996" bottom="0.78740157499999996" header="0.3" footer="0.3"/>
  <pageSetup paperSize="9" scale="66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I26"/>
  <sheetViews>
    <sheetView view="pageBreakPreview" zoomScale="60" zoomScaleNormal="100" workbookViewId="0">
      <selection activeCell="G27" sqref="G27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10" t="s">
        <v>64</v>
      </c>
      <c r="B9" s="11" t="s">
        <v>14</v>
      </c>
      <c r="C9" s="12">
        <v>50350</v>
      </c>
      <c r="D9" s="110" t="s">
        <v>65</v>
      </c>
      <c r="E9" s="109"/>
      <c r="F9" s="13">
        <f>94.02*30</f>
        <v>2820.6</v>
      </c>
      <c r="G9" s="14" t="s">
        <v>16</v>
      </c>
      <c r="H9" s="8" t="s">
        <v>17</v>
      </c>
    </row>
    <row r="10" spans="1:9" ht="15.75" customHeight="1" thickBot="1" x14ac:dyDescent="0.3">
      <c r="A10" s="17"/>
      <c r="B10" s="18" t="s">
        <v>7</v>
      </c>
      <c r="C10" s="19"/>
      <c r="D10" s="111"/>
      <c r="E10" s="112"/>
      <c r="F10" s="21">
        <f>SUM(F9:F9)</f>
        <v>2820.6</v>
      </c>
      <c r="G10" s="22"/>
      <c r="H10" s="23"/>
    </row>
    <row r="11" spans="1:9" x14ac:dyDescent="0.25">
      <c r="A11" s="24" t="s">
        <v>20</v>
      </c>
      <c r="B11" s="25" t="s">
        <v>7</v>
      </c>
      <c r="C11" s="26" t="s">
        <v>21</v>
      </c>
      <c r="D11" s="26" t="s">
        <v>22</v>
      </c>
      <c r="E11" s="26"/>
      <c r="F11" s="26" t="s">
        <v>23</v>
      </c>
      <c r="G11" s="26"/>
      <c r="H11" s="27"/>
    </row>
    <row r="12" spans="1:9" x14ac:dyDescent="0.25">
      <c r="A12" s="28"/>
      <c r="B12" s="29"/>
      <c r="C12" s="2"/>
      <c r="D12" s="2"/>
      <c r="E12" s="2"/>
      <c r="F12" s="2"/>
      <c r="G12" s="2"/>
      <c r="H12" s="30"/>
    </row>
    <row r="13" spans="1:9" ht="15.75" thickBot="1" x14ac:dyDescent="0.3">
      <c r="A13" s="31"/>
      <c r="B13" s="32"/>
      <c r="C13" s="32"/>
      <c r="D13" s="32"/>
      <c r="E13" s="32"/>
      <c r="F13" s="32"/>
      <c r="G13" s="32"/>
      <c r="H13" s="33"/>
    </row>
    <row r="14" spans="1:9" x14ac:dyDescent="0.25">
      <c r="A14" s="34"/>
      <c r="B14" s="35"/>
      <c r="C14" s="36"/>
      <c r="D14" s="36"/>
      <c r="E14" s="36"/>
      <c r="F14" s="36"/>
      <c r="G14" s="36"/>
      <c r="H14" s="36"/>
    </row>
    <row r="15" spans="1:9" x14ac:dyDescent="0.25">
      <c r="A15" s="37" t="s">
        <v>24</v>
      </c>
      <c r="B15" s="38"/>
      <c r="C15" s="38"/>
      <c r="D15" s="38"/>
      <c r="E15" s="38"/>
      <c r="F15" s="39"/>
      <c r="G15" s="40"/>
      <c r="H15" s="36"/>
    </row>
    <row r="16" spans="1:9" x14ac:dyDescent="0.25">
      <c r="A16" s="38" t="s">
        <v>25</v>
      </c>
      <c r="B16" s="37" t="s">
        <v>66</v>
      </c>
      <c r="C16" s="38"/>
      <c r="D16" s="38"/>
      <c r="E16" s="38"/>
      <c r="F16" s="38"/>
      <c r="G16" s="38"/>
      <c r="H16" s="36"/>
    </row>
    <row r="17" spans="1:8" x14ac:dyDescent="0.25">
      <c r="A17" s="38" t="s">
        <v>27</v>
      </c>
      <c r="B17" s="37"/>
      <c r="C17" s="38"/>
      <c r="D17" s="38"/>
      <c r="E17" s="38"/>
      <c r="F17" s="38"/>
      <c r="G17" s="38"/>
      <c r="H17" s="42"/>
    </row>
    <row r="18" spans="1:8" x14ac:dyDescent="0.25">
      <c r="A18" s="43" t="s">
        <v>28</v>
      </c>
      <c r="B18" s="37" t="s">
        <v>29</v>
      </c>
      <c r="C18" s="38"/>
      <c r="D18" s="55"/>
      <c r="E18" s="38"/>
      <c r="F18" s="38"/>
      <c r="G18" s="38"/>
      <c r="H18" s="34"/>
    </row>
    <row r="19" spans="1:8" x14ac:dyDescent="0.25">
      <c r="A19" s="38" t="s">
        <v>30</v>
      </c>
      <c r="B19" s="113" t="s">
        <v>67</v>
      </c>
      <c r="C19" s="114"/>
      <c r="D19" s="114"/>
      <c r="E19" s="114"/>
      <c r="F19" s="114"/>
      <c r="G19" s="114"/>
      <c r="H19" s="34"/>
    </row>
    <row r="20" spans="1:8" x14ac:dyDescent="0.25">
      <c r="A20" s="44"/>
      <c r="B20" s="45"/>
      <c r="C20" s="46"/>
      <c r="D20" s="47"/>
      <c r="E20" s="48"/>
      <c r="F20" s="39"/>
      <c r="G20" s="40"/>
      <c r="H20" s="36"/>
    </row>
    <row r="21" spans="1:8" x14ac:dyDescent="0.25">
      <c r="A21" s="49"/>
      <c r="B21" s="50"/>
      <c r="C21" s="51"/>
      <c r="D21" s="40"/>
      <c r="E21" s="36"/>
      <c r="F21" s="39"/>
      <c r="G21" s="40"/>
      <c r="H21" s="36"/>
    </row>
    <row r="22" spans="1:8" x14ac:dyDescent="0.25">
      <c r="A22" s="52"/>
      <c r="B22" s="42"/>
      <c r="C22" s="42"/>
      <c r="D22" s="42"/>
      <c r="E22" s="42"/>
      <c r="F22" s="42"/>
      <c r="G22" s="40"/>
      <c r="H22" s="36"/>
    </row>
    <row r="23" spans="1:8" x14ac:dyDescent="0.25">
      <c r="A23" s="42"/>
      <c r="B23" s="52"/>
      <c r="C23" s="42"/>
      <c r="D23" s="42"/>
      <c r="E23" s="42"/>
      <c r="F23" s="42"/>
      <c r="G23" s="42"/>
      <c r="H23" s="42"/>
    </row>
    <row r="24" spans="1:8" x14ac:dyDescent="0.25">
      <c r="A24" s="42"/>
      <c r="B24" s="52"/>
      <c r="C24" s="42"/>
      <c r="D24" s="42"/>
      <c r="E24" s="42"/>
      <c r="F24" s="42"/>
      <c r="G24" s="34"/>
      <c r="H24" s="34"/>
    </row>
    <row r="25" spans="1:8" x14ac:dyDescent="0.25">
      <c r="A25" s="34"/>
      <c r="B25" s="52"/>
      <c r="C25" s="42"/>
      <c r="D25" s="42"/>
      <c r="E25" s="42"/>
      <c r="F25" s="42"/>
      <c r="G25" s="34"/>
      <c r="H25" s="34"/>
    </row>
    <row r="26" spans="1:8" x14ac:dyDescent="0.25">
      <c r="A26" s="42"/>
      <c r="B26" s="102"/>
      <c r="C26" s="103"/>
      <c r="D26" s="103"/>
      <c r="E26" s="103"/>
      <c r="F26" s="42"/>
      <c r="G26" s="42"/>
      <c r="H26" s="42"/>
    </row>
  </sheetData>
  <mergeCells count="6">
    <mergeCell ref="B26:E26"/>
    <mergeCell ref="F6:G6"/>
    <mergeCell ref="D8:E8"/>
    <mergeCell ref="D9:E9"/>
    <mergeCell ref="D10:E10"/>
    <mergeCell ref="B19:G19"/>
  </mergeCells>
  <pageMargins left="0.7" right="0.7" top="0.78740157499999996" bottom="0.78740157499999996" header="0.3" footer="0.3"/>
  <pageSetup paperSize="9" scale="68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I26"/>
  <sheetViews>
    <sheetView view="pageBreakPreview" zoomScale="60" zoomScaleNormal="100" workbookViewId="0">
      <selection activeCell="B19" sqref="B19:G19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8" customHeight="1" thickBot="1" x14ac:dyDescent="0.3">
      <c r="A7" s="2"/>
      <c r="B7" s="2"/>
      <c r="C7" s="2"/>
      <c r="D7" s="2"/>
      <c r="E7" s="2"/>
      <c r="F7" s="2"/>
      <c r="G7" s="2"/>
      <c r="H7" s="2"/>
    </row>
    <row r="8" spans="1:9" ht="15" customHeight="1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10" t="s">
        <v>68</v>
      </c>
      <c r="B9" s="11" t="s">
        <v>14</v>
      </c>
      <c r="C9" s="12">
        <v>50350</v>
      </c>
      <c r="D9" s="108" t="s">
        <v>69</v>
      </c>
      <c r="E9" s="109"/>
      <c r="F9" s="13">
        <f>94.02*30</f>
        <v>2820.6</v>
      </c>
      <c r="G9" s="14" t="s">
        <v>16</v>
      </c>
      <c r="H9" s="8" t="s">
        <v>17</v>
      </c>
    </row>
    <row r="10" spans="1:9" ht="20.25" customHeight="1" thickBot="1" x14ac:dyDescent="0.3">
      <c r="A10" s="17"/>
      <c r="B10" s="18" t="s">
        <v>7</v>
      </c>
      <c r="C10" s="19"/>
      <c r="D10" s="111"/>
      <c r="E10" s="112"/>
      <c r="F10" s="21">
        <f>SUM(F9:F9)</f>
        <v>2820.6</v>
      </c>
      <c r="G10" s="22"/>
      <c r="H10" s="23"/>
    </row>
    <row r="11" spans="1:9" x14ac:dyDescent="0.25">
      <c r="A11" s="24" t="s">
        <v>20</v>
      </c>
      <c r="B11" s="25" t="s">
        <v>7</v>
      </c>
      <c r="C11" s="26" t="s">
        <v>21</v>
      </c>
      <c r="D11" s="26" t="s">
        <v>22</v>
      </c>
      <c r="E11" s="26"/>
      <c r="F11" s="26" t="s">
        <v>23</v>
      </c>
      <c r="G11" s="26"/>
      <c r="H11" s="27"/>
    </row>
    <row r="12" spans="1:9" x14ac:dyDescent="0.25">
      <c r="A12" s="28"/>
      <c r="B12" s="29"/>
      <c r="C12" s="2"/>
      <c r="D12" s="2"/>
      <c r="E12" s="2"/>
      <c r="F12" s="2"/>
      <c r="G12" s="2"/>
      <c r="H12" s="30"/>
    </row>
    <row r="13" spans="1:9" ht="15.75" thickBot="1" x14ac:dyDescent="0.3">
      <c r="A13" s="31"/>
      <c r="B13" s="32"/>
      <c r="C13" s="32"/>
      <c r="D13" s="32"/>
      <c r="E13" s="32"/>
      <c r="F13" s="32"/>
      <c r="G13" s="32"/>
      <c r="H13" s="33"/>
    </row>
    <row r="14" spans="1:9" x14ac:dyDescent="0.25">
      <c r="A14" s="34"/>
      <c r="B14" s="35"/>
      <c r="C14" s="36"/>
      <c r="D14" s="36"/>
      <c r="E14" s="36"/>
      <c r="F14" s="36"/>
      <c r="G14" s="36"/>
      <c r="H14" s="36"/>
    </row>
    <row r="15" spans="1:9" x14ac:dyDescent="0.25">
      <c r="A15" s="37" t="s">
        <v>24</v>
      </c>
      <c r="B15" s="37" t="s">
        <v>70</v>
      </c>
      <c r="C15" s="38"/>
      <c r="D15" s="38"/>
      <c r="E15" s="38"/>
      <c r="F15" s="38"/>
      <c r="G15" s="38"/>
      <c r="H15" s="36"/>
    </row>
    <row r="16" spans="1:9" x14ac:dyDescent="0.25">
      <c r="A16" s="38" t="s">
        <v>25</v>
      </c>
      <c r="B16" s="37"/>
      <c r="C16" s="38"/>
      <c r="D16" s="38"/>
      <c r="E16" s="38"/>
      <c r="F16" s="38"/>
      <c r="G16" s="38"/>
      <c r="H16" s="36"/>
    </row>
    <row r="17" spans="1:8" x14ac:dyDescent="0.25">
      <c r="A17" s="38" t="s">
        <v>27</v>
      </c>
      <c r="B17" s="37" t="s">
        <v>29</v>
      </c>
      <c r="C17" s="38"/>
      <c r="D17" s="55"/>
      <c r="E17" s="38"/>
      <c r="F17" s="38"/>
      <c r="G17" s="38"/>
      <c r="H17" s="42"/>
    </row>
    <row r="18" spans="1:8" x14ac:dyDescent="0.25">
      <c r="A18" s="43" t="s">
        <v>28</v>
      </c>
      <c r="B18" s="113" t="s">
        <v>117</v>
      </c>
      <c r="C18" s="114"/>
      <c r="D18" s="114"/>
      <c r="E18" s="114"/>
      <c r="F18" s="114"/>
      <c r="G18" s="114"/>
      <c r="H18" s="34"/>
    </row>
    <row r="19" spans="1:8" x14ac:dyDescent="0.25">
      <c r="A19" s="38" t="s">
        <v>30</v>
      </c>
      <c r="B19" s="113"/>
      <c r="C19" s="114"/>
      <c r="D19" s="114"/>
      <c r="E19" s="114"/>
      <c r="F19" s="114"/>
      <c r="G19" s="114"/>
      <c r="H19" s="34"/>
    </row>
    <row r="20" spans="1:8" x14ac:dyDescent="0.25">
      <c r="A20" s="44"/>
      <c r="B20" s="45"/>
      <c r="C20" s="46"/>
      <c r="D20" s="47"/>
      <c r="E20" s="48"/>
      <c r="F20" s="39"/>
      <c r="G20" s="40"/>
      <c r="H20" s="36"/>
    </row>
    <row r="21" spans="1:8" x14ac:dyDescent="0.25">
      <c r="A21" s="49"/>
      <c r="B21" s="50"/>
      <c r="C21" s="51"/>
      <c r="D21" s="40"/>
      <c r="E21" s="36"/>
      <c r="F21" s="39"/>
      <c r="G21" s="40"/>
      <c r="H21" s="36"/>
    </row>
    <row r="22" spans="1:8" x14ac:dyDescent="0.25">
      <c r="A22" s="52"/>
      <c r="B22" s="42"/>
      <c r="C22" s="42"/>
      <c r="D22" s="42"/>
      <c r="E22" s="42"/>
      <c r="F22" s="42"/>
      <c r="G22" s="40"/>
      <c r="H22" s="36"/>
    </row>
    <row r="23" spans="1:8" x14ac:dyDescent="0.25">
      <c r="A23" s="42"/>
      <c r="B23" s="52"/>
      <c r="C23" s="42"/>
      <c r="D23" s="42"/>
      <c r="E23" s="42"/>
      <c r="F23" s="42"/>
      <c r="G23" s="42"/>
      <c r="H23" s="42"/>
    </row>
    <row r="24" spans="1:8" x14ac:dyDescent="0.25">
      <c r="A24" s="42"/>
      <c r="B24" s="52"/>
      <c r="C24" s="42"/>
      <c r="D24" s="42"/>
      <c r="E24" s="42"/>
      <c r="F24" s="42"/>
      <c r="G24" s="34"/>
      <c r="H24" s="34"/>
    </row>
    <row r="25" spans="1:8" x14ac:dyDescent="0.25">
      <c r="A25" s="34"/>
      <c r="B25" s="52"/>
      <c r="C25" s="42"/>
      <c r="D25" s="42"/>
      <c r="E25" s="42"/>
      <c r="F25" s="42"/>
      <c r="G25" s="34"/>
      <c r="H25" s="34"/>
    </row>
    <row r="26" spans="1:8" x14ac:dyDescent="0.25">
      <c r="A26" s="42"/>
      <c r="B26" s="102"/>
      <c r="C26" s="103"/>
      <c r="D26" s="103"/>
      <c r="E26" s="103"/>
      <c r="F26" s="42"/>
      <c r="G26" s="42"/>
      <c r="H26" s="42"/>
    </row>
  </sheetData>
  <mergeCells count="7">
    <mergeCell ref="B26:E26"/>
    <mergeCell ref="F6:G6"/>
    <mergeCell ref="D8:E8"/>
    <mergeCell ref="D9:E9"/>
    <mergeCell ref="D10:E10"/>
    <mergeCell ref="B18:G18"/>
    <mergeCell ref="B19:G19"/>
  </mergeCells>
  <pageMargins left="0.7" right="0.7" top="0.78740157499999996" bottom="0.78740157499999996" header="0.3" footer="0.3"/>
  <pageSetup paperSize="9" scale="68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I25"/>
  <sheetViews>
    <sheetView zoomScaleNormal="100" workbookViewId="0">
      <selection activeCell="E32" sqref="E32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10" t="s">
        <v>71</v>
      </c>
      <c r="B9" s="60" t="s">
        <v>14</v>
      </c>
      <c r="C9" s="12">
        <v>50350</v>
      </c>
      <c r="D9" s="108" t="s">
        <v>72</v>
      </c>
      <c r="E9" s="109"/>
      <c r="F9" s="61">
        <f>94.02*7-2914.62</f>
        <v>-2256.48</v>
      </c>
      <c r="G9" s="14" t="s">
        <v>16</v>
      </c>
      <c r="H9" s="8" t="s">
        <v>17</v>
      </c>
    </row>
    <row r="10" spans="1:9" ht="21" customHeight="1" thickBot="1" x14ac:dyDescent="0.3">
      <c r="A10" s="17"/>
      <c r="B10" s="18" t="s">
        <v>7</v>
      </c>
      <c r="C10" s="19"/>
      <c r="D10" s="111"/>
      <c r="E10" s="112"/>
      <c r="F10" s="62">
        <f>SUM(F9:F9)</f>
        <v>-2256.48</v>
      </c>
      <c r="G10" s="22"/>
      <c r="H10" s="23"/>
    </row>
    <row r="11" spans="1:9" x14ac:dyDescent="0.25">
      <c r="A11" s="24" t="s">
        <v>20</v>
      </c>
      <c r="B11" s="25" t="s">
        <v>7</v>
      </c>
      <c r="C11" s="26" t="s">
        <v>21</v>
      </c>
      <c r="D11" s="26" t="s">
        <v>22</v>
      </c>
      <c r="E11" s="26"/>
      <c r="F11" s="26" t="s">
        <v>23</v>
      </c>
      <c r="G11" s="26"/>
      <c r="H11" s="27"/>
    </row>
    <row r="12" spans="1:9" x14ac:dyDescent="0.25">
      <c r="A12" s="28"/>
      <c r="B12" s="29"/>
      <c r="C12" s="2"/>
      <c r="D12" s="2"/>
      <c r="E12" s="2"/>
      <c r="F12" s="2"/>
      <c r="G12" s="2"/>
      <c r="H12" s="30"/>
    </row>
    <row r="13" spans="1:9" ht="15.75" thickBot="1" x14ac:dyDescent="0.3">
      <c r="A13" s="31"/>
      <c r="B13" s="32"/>
      <c r="C13" s="32"/>
      <c r="D13" s="32"/>
      <c r="E13" s="32"/>
      <c r="F13" s="32"/>
      <c r="G13" s="32"/>
      <c r="H13" s="33"/>
    </row>
    <row r="14" spans="1:9" x14ac:dyDescent="0.25">
      <c r="A14" s="34"/>
      <c r="B14" s="35"/>
      <c r="C14" s="36"/>
      <c r="D14" s="36"/>
      <c r="E14" s="36"/>
      <c r="F14" s="36"/>
      <c r="G14" s="36"/>
      <c r="H14" s="36"/>
    </row>
    <row r="15" spans="1:9" x14ac:dyDescent="0.25">
      <c r="A15" s="37" t="s">
        <v>24</v>
      </c>
      <c r="B15" s="37"/>
      <c r="C15" s="38"/>
      <c r="D15" s="38"/>
      <c r="E15" s="38"/>
      <c r="F15" s="38"/>
      <c r="G15" s="38"/>
      <c r="H15" s="36"/>
    </row>
    <row r="16" spans="1:9" x14ac:dyDescent="0.25">
      <c r="A16" s="38" t="s">
        <v>25</v>
      </c>
      <c r="B16" s="37" t="s">
        <v>73</v>
      </c>
      <c r="C16" s="38"/>
      <c r="D16" s="38"/>
      <c r="E16" s="38"/>
      <c r="F16" s="38"/>
      <c r="G16" s="38"/>
      <c r="H16" s="36"/>
    </row>
    <row r="17" spans="1:8" x14ac:dyDescent="0.25">
      <c r="A17" s="38" t="s">
        <v>27</v>
      </c>
      <c r="B17" s="37"/>
      <c r="C17" s="38"/>
      <c r="D17" s="38"/>
      <c r="E17" s="38"/>
      <c r="F17" s="38"/>
      <c r="G17" s="38"/>
      <c r="H17" s="63"/>
    </row>
    <row r="18" spans="1:8" x14ac:dyDescent="0.25">
      <c r="A18" s="38" t="s">
        <v>28</v>
      </c>
      <c r="B18" s="37" t="s">
        <v>29</v>
      </c>
      <c r="C18" s="38"/>
      <c r="D18" s="55"/>
      <c r="E18" s="38"/>
      <c r="F18" s="38"/>
      <c r="G18" s="38"/>
      <c r="H18" s="34"/>
    </row>
    <row r="19" spans="1:8" x14ac:dyDescent="0.25">
      <c r="A19" s="38" t="s">
        <v>30</v>
      </c>
      <c r="B19" s="113" t="s">
        <v>74</v>
      </c>
      <c r="C19" s="114"/>
      <c r="D19" s="114"/>
      <c r="E19" s="114"/>
      <c r="F19" s="114"/>
      <c r="G19" s="114"/>
      <c r="H19" s="34"/>
    </row>
    <row r="20" spans="1:8" x14ac:dyDescent="0.25">
      <c r="A20" s="64"/>
      <c r="B20" s="45"/>
      <c r="C20" s="65"/>
      <c r="D20" s="66"/>
      <c r="E20" s="67"/>
      <c r="F20" s="68"/>
      <c r="G20" s="69"/>
      <c r="H20" s="36"/>
    </row>
    <row r="21" spans="1:8" ht="30" customHeight="1" x14ac:dyDescent="0.25">
      <c r="A21" s="120" t="s">
        <v>75</v>
      </c>
      <c r="B21" s="120"/>
      <c r="C21" s="120"/>
      <c r="D21" s="120"/>
      <c r="E21" s="120"/>
      <c r="F21" s="120"/>
      <c r="G21" s="120"/>
      <c r="H21" s="120"/>
    </row>
    <row r="22" spans="1:8" x14ac:dyDescent="0.25">
      <c r="A22" s="120" t="s">
        <v>76</v>
      </c>
      <c r="B22" s="120"/>
      <c r="C22" s="120"/>
      <c r="D22" s="120"/>
      <c r="E22" s="120"/>
      <c r="F22" s="120"/>
      <c r="G22" s="120"/>
      <c r="H22" s="120"/>
    </row>
    <row r="23" spans="1:8" x14ac:dyDescent="0.25">
      <c r="A23" s="70" t="s">
        <v>77</v>
      </c>
      <c r="B23" s="70"/>
      <c r="C23" s="70"/>
      <c r="D23" s="42"/>
      <c r="E23" s="42"/>
      <c r="F23" s="42"/>
      <c r="G23" s="34"/>
      <c r="H23" s="34"/>
    </row>
    <row r="24" spans="1:8" x14ac:dyDescent="0.25">
      <c r="A24" s="70"/>
      <c r="B24" s="70"/>
      <c r="C24" s="70"/>
      <c r="D24" s="42"/>
      <c r="E24" s="42"/>
      <c r="F24" s="42"/>
      <c r="G24" s="34"/>
      <c r="H24" s="34"/>
    </row>
    <row r="25" spans="1:8" x14ac:dyDescent="0.25">
      <c r="A25" s="42"/>
      <c r="B25" s="102"/>
      <c r="C25" s="103"/>
      <c r="D25" s="103"/>
      <c r="E25" s="103"/>
      <c r="F25" s="42"/>
      <c r="G25" s="42"/>
      <c r="H25" s="42"/>
    </row>
  </sheetData>
  <mergeCells count="8">
    <mergeCell ref="A22:H22"/>
    <mergeCell ref="B25:E25"/>
    <mergeCell ref="F6:G6"/>
    <mergeCell ref="D8:E8"/>
    <mergeCell ref="D9:E9"/>
    <mergeCell ref="D10:E10"/>
    <mergeCell ref="B19:G19"/>
    <mergeCell ref="A21:H21"/>
  </mergeCells>
  <pageMargins left="0.7" right="0.7" top="0.78740157499999996" bottom="0.78740157499999996" header="0.3" footer="0.3"/>
  <pageSetup paperSize="9" scale="68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I27"/>
  <sheetViews>
    <sheetView view="pageBreakPreview" topLeftCell="A4" zoomScale="60" zoomScaleNormal="100" workbookViewId="0">
      <selection activeCell="F9" sqref="F9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3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ht="27" thickBot="1" x14ac:dyDescent="0.3">
      <c r="A9" s="10" t="s">
        <v>78</v>
      </c>
      <c r="B9" s="11" t="s">
        <v>14</v>
      </c>
      <c r="C9" s="12">
        <v>50350</v>
      </c>
      <c r="D9" s="110" t="s">
        <v>79</v>
      </c>
      <c r="E9" s="109"/>
      <c r="F9" s="71">
        <f>94*2</f>
        <v>188</v>
      </c>
      <c r="G9" s="14" t="s">
        <v>16</v>
      </c>
      <c r="H9" s="8" t="s">
        <v>17</v>
      </c>
    </row>
    <row r="10" spans="1:9" s="16" customFormat="1" ht="27" thickBot="1" x14ac:dyDescent="0.3">
      <c r="A10" s="10" t="s">
        <v>80</v>
      </c>
      <c r="B10" s="11" t="s">
        <v>59</v>
      </c>
      <c r="C10" s="12">
        <v>50350</v>
      </c>
      <c r="D10" s="110" t="s">
        <v>81</v>
      </c>
      <c r="E10" s="109"/>
      <c r="F10" s="71">
        <f>94*2</f>
        <v>188</v>
      </c>
      <c r="G10" s="14" t="s">
        <v>16</v>
      </c>
      <c r="H10" s="8" t="s">
        <v>17</v>
      </c>
    </row>
    <row r="11" spans="1:9" ht="15.75" thickBot="1" x14ac:dyDescent="0.3">
      <c r="A11" s="72"/>
      <c r="B11" s="73" t="s">
        <v>7</v>
      </c>
      <c r="C11" s="20"/>
      <c r="D11" s="111"/>
      <c r="E11" s="112"/>
      <c r="F11" s="74">
        <f>SUM(F9:F10)</f>
        <v>376</v>
      </c>
      <c r="G11" s="75"/>
      <c r="H11" s="76"/>
    </row>
    <row r="12" spans="1:9" x14ac:dyDescent="0.25">
      <c r="A12" s="24" t="s">
        <v>20</v>
      </c>
      <c r="B12" s="25" t="s">
        <v>7</v>
      </c>
      <c r="C12" s="26" t="s">
        <v>21</v>
      </c>
      <c r="D12" s="26" t="s">
        <v>22</v>
      </c>
      <c r="E12" s="26"/>
      <c r="F12" s="26" t="s">
        <v>23</v>
      </c>
      <c r="G12" s="26"/>
      <c r="H12" s="27"/>
    </row>
    <row r="13" spans="1:9" x14ac:dyDescent="0.25">
      <c r="A13" s="28"/>
      <c r="B13" s="29"/>
      <c r="C13" s="2"/>
      <c r="D13" s="2"/>
      <c r="E13" s="2"/>
      <c r="F13" s="2"/>
      <c r="G13" s="2"/>
      <c r="H13" s="30"/>
    </row>
    <row r="14" spans="1:9" ht="15.75" thickBot="1" x14ac:dyDescent="0.3">
      <c r="A14" s="31"/>
      <c r="B14" s="32"/>
      <c r="C14" s="32"/>
      <c r="D14" s="32"/>
      <c r="E14" s="32"/>
      <c r="F14" s="32"/>
      <c r="G14" s="32"/>
      <c r="H14" s="33"/>
    </row>
    <row r="15" spans="1:9" x14ac:dyDescent="0.25">
      <c r="A15" s="34"/>
      <c r="B15" s="35"/>
      <c r="C15" s="36"/>
      <c r="D15" s="36"/>
      <c r="E15" s="36"/>
      <c r="F15" s="36"/>
      <c r="G15" s="36"/>
      <c r="H15" s="36"/>
    </row>
    <row r="16" spans="1:9" x14ac:dyDescent="0.25">
      <c r="A16" s="37" t="s">
        <v>24</v>
      </c>
      <c r="B16" s="38"/>
      <c r="C16" s="38"/>
      <c r="D16" s="38"/>
      <c r="E16" s="38"/>
      <c r="F16" s="39"/>
      <c r="G16" s="40"/>
      <c r="H16" s="36"/>
    </row>
    <row r="17" spans="1:8" x14ac:dyDescent="0.25">
      <c r="A17" s="38" t="s">
        <v>25</v>
      </c>
      <c r="B17" s="37" t="s">
        <v>82</v>
      </c>
      <c r="C17" s="38"/>
      <c r="D17" s="38"/>
      <c r="E17" s="38"/>
      <c r="F17" s="38"/>
      <c r="G17" s="38"/>
      <c r="H17" s="36"/>
    </row>
    <row r="18" spans="1:8" x14ac:dyDescent="0.25">
      <c r="A18" s="38" t="s">
        <v>27</v>
      </c>
      <c r="B18" s="37"/>
      <c r="C18" s="38"/>
      <c r="D18" s="38"/>
      <c r="E18" s="38"/>
      <c r="F18" s="38"/>
      <c r="G18" s="38"/>
      <c r="H18" s="42"/>
    </row>
    <row r="19" spans="1:8" x14ac:dyDescent="0.25">
      <c r="A19" s="43" t="s">
        <v>28</v>
      </c>
      <c r="B19" s="37" t="s">
        <v>29</v>
      </c>
      <c r="C19" s="38"/>
      <c r="D19" s="55"/>
      <c r="E19" s="38"/>
      <c r="F19" s="38"/>
      <c r="G19" s="38"/>
      <c r="H19" s="34"/>
    </row>
    <row r="20" spans="1:8" x14ac:dyDescent="0.25">
      <c r="A20" s="38" t="s">
        <v>30</v>
      </c>
      <c r="B20" s="113" t="s">
        <v>83</v>
      </c>
      <c r="C20" s="114"/>
      <c r="D20" s="114"/>
      <c r="E20" s="114"/>
      <c r="F20" s="114"/>
      <c r="G20" s="114"/>
      <c r="H20" s="34"/>
    </row>
    <row r="21" spans="1:8" x14ac:dyDescent="0.25">
      <c r="A21" s="44"/>
      <c r="B21" s="45"/>
      <c r="C21" s="46"/>
      <c r="D21" s="47"/>
      <c r="E21" s="48"/>
      <c r="F21" s="39"/>
      <c r="G21" s="40"/>
      <c r="H21" s="36"/>
    </row>
    <row r="22" spans="1:8" x14ac:dyDescent="0.25">
      <c r="A22" s="49"/>
      <c r="B22" s="50"/>
      <c r="C22" s="51"/>
      <c r="D22" s="40"/>
      <c r="E22" s="36"/>
      <c r="F22" s="39"/>
      <c r="G22" s="40"/>
      <c r="H22" s="36"/>
    </row>
    <row r="23" spans="1:8" x14ac:dyDescent="0.25">
      <c r="A23" s="77" t="s">
        <v>84</v>
      </c>
      <c r="B23" s="42"/>
      <c r="C23" s="42"/>
      <c r="D23" s="42"/>
      <c r="E23" s="42"/>
      <c r="F23" s="42"/>
      <c r="G23" s="40"/>
      <c r="H23" s="36"/>
    </row>
    <row r="24" spans="1:8" x14ac:dyDescent="0.25">
      <c r="A24" s="42"/>
      <c r="B24" s="52"/>
      <c r="C24" s="42"/>
      <c r="D24" s="42"/>
      <c r="E24" s="42"/>
      <c r="F24" s="42"/>
      <c r="G24" s="42"/>
      <c r="H24" s="42"/>
    </row>
    <row r="25" spans="1:8" x14ac:dyDescent="0.25">
      <c r="A25" s="42"/>
      <c r="B25" s="52"/>
      <c r="C25" s="42"/>
      <c r="D25" s="42"/>
      <c r="E25" s="42"/>
      <c r="F25" s="42"/>
      <c r="G25" s="34"/>
      <c r="H25" s="34"/>
    </row>
    <row r="26" spans="1:8" x14ac:dyDescent="0.25">
      <c r="A26" s="34"/>
      <c r="B26" s="52"/>
      <c r="C26" s="42"/>
      <c r="D26" s="42"/>
      <c r="E26" s="42"/>
      <c r="F26" s="42"/>
      <c r="G26" s="34"/>
      <c r="H26" s="34"/>
    </row>
    <row r="27" spans="1:8" x14ac:dyDescent="0.25">
      <c r="A27" s="42"/>
      <c r="B27" s="102"/>
      <c r="C27" s="103"/>
      <c r="D27" s="103"/>
      <c r="E27" s="103"/>
      <c r="F27" s="42"/>
      <c r="G27" s="42"/>
      <c r="H27" s="42"/>
    </row>
  </sheetData>
  <mergeCells count="7">
    <mergeCell ref="B27:E27"/>
    <mergeCell ref="F6:G6"/>
    <mergeCell ref="D8:E8"/>
    <mergeCell ref="D9:E9"/>
    <mergeCell ref="D10:E10"/>
    <mergeCell ref="D11:E11"/>
    <mergeCell ref="B20:G20"/>
  </mergeCells>
  <pageMargins left="0.7" right="0.7" top="0.78740157499999996" bottom="0.78740157499999996" header="0.3" footer="0.3"/>
  <pageSetup paperSize="9" scale="67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J21"/>
  <sheetViews>
    <sheetView zoomScaleNormal="100" workbookViewId="0">
      <selection activeCell="L17" sqref="L17"/>
    </sheetView>
  </sheetViews>
  <sheetFormatPr baseColWidth="10" defaultRowHeight="15" x14ac:dyDescent="0.25"/>
  <cols>
    <col min="1" max="1" width="38.85546875" customWidth="1"/>
    <col min="2" max="2" width="11.85546875" customWidth="1"/>
    <col min="3" max="3" width="13.85546875" customWidth="1"/>
    <col min="4" max="4" width="21" customWidth="1"/>
    <col min="5" max="5" width="16.28515625" customWidth="1"/>
    <col min="6" max="6" width="8.5703125" customWidth="1"/>
    <col min="7" max="7" width="16.7109375" customWidth="1"/>
    <col min="8" max="8" width="11.28515625" customWidth="1"/>
    <col min="253" max="253" width="33.28515625" customWidth="1"/>
    <col min="254" max="254" width="8.5703125" customWidth="1"/>
    <col min="255" max="255" width="9.28515625" customWidth="1"/>
    <col min="257" max="257" width="8" customWidth="1"/>
    <col min="258" max="258" width="7.42578125" customWidth="1"/>
    <col min="259" max="259" width="7.85546875" customWidth="1"/>
    <col min="260" max="260" width="9" customWidth="1"/>
    <col min="261" max="261" width="8.5703125" customWidth="1"/>
    <col min="262" max="262" width="9.7109375" customWidth="1"/>
    <col min="263" max="263" width="11.28515625" customWidth="1"/>
    <col min="509" max="509" width="33.28515625" customWidth="1"/>
    <col min="510" max="510" width="8.5703125" customWidth="1"/>
    <col min="511" max="511" width="9.28515625" customWidth="1"/>
    <col min="513" max="513" width="8" customWidth="1"/>
    <col min="514" max="514" width="7.42578125" customWidth="1"/>
    <col min="515" max="515" width="7.85546875" customWidth="1"/>
    <col min="516" max="516" width="9" customWidth="1"/>
    <col min="517" max="517" width="8.5703125" customWidth="1"/>
    <col min="518" max="518" width="9.7109375" customWidth="1"/>
    <col min="519" max="519" width="11.28515625" customWidth="1"/>
    <col min="765" max="765" width="33.28515625" customWidth="1"/>
    <col min="766" max="766" width="8.5703125" customWidth="1"/>
    <col min="767" max="767" width="9.28515625" customWidth="1"/>
    <col min="769" max="769" width="8" customWidth="1"/>
    <col min="770" max="770" width="7.42578125" customWidth="1"/>
    <col min="771" max="771" width="7.85546875" customWidth="1"/>
    <col min="772" max="772" width="9" customWidth="1"/>
    <col min="773" max="773" width="8.5703125" customWidth="1"/>
    <col min="774" max="774" width="9.7109375" customWidth="1"/>
    <col min="775" max="775" width="11.28515625" customWidth="1"/>
    <col min="1021" max="1021" width="33.28515625" customWidth="1"/>
    <col min="1022" max="1022" width="8.5703125" customWidth="1"/>
    <col min="1023" max="1023" width="9.28515625" customWidth="1"/>
    <col min="1025" max="1025" width="8" customWidth="1"/>
    <col min="1026" max="1026" width="7.42578125" customWidth="1"/>
    <col min="1027" max="1027" width="7.85546875" customWidth="1"/>
    <col min="1028" max="1028" width="9" customWidth="1"/>
    <col min="1029" max="1029" width="8.5703125" customWidth="1"/>
    <col min="1030" max="1030" width="9.7109375" customWidth="1"/>
    <col min="1031" max="1031" width="11.28515625" customWidth="1"/>
    <col min="1277" max="1277" width="33.28515625" customWidth="1"/>
    <col min="1278" max="1278" width="8.5703125" customWidth="1"/>
    <col min="1279" max="1279" width="9.28515625" customWidth="1"/>
    <col min="1281" max="1281" width="8" customWidth="1"/>
    <col min="1282" max="1282" width="7.42578125" customWidth="1"/>
    <col min="1283" max="1283" width="7.85546875" customWidth="1"/>
    <col min="1284" max="1284" width="9" customWidth="1"/>
    <col min="1285" max="1285" width="8.5703125" customWidth="1"/>
    <col min="1286" max="1286" width="9.7109375" customWidth="1"/>
    <col min="1287" max="1287" width="11.28515625" customWidth="1"/>
    <col min="1533" max="1533" width="33.28515625" customWidth="1"/>
    <col min="1534" max="1534" width="8.5703125" customWidth="1"/>
    <col min="1535" max="1535" width="9.28515625" customWidth="1"/>
    <col min="1537" max="1537" width="8" customWidth="1"/>
    <col min="1538" max="1538" width="7.42578125" customWidth="1"/>
    <col min="1539" max="1539" width="7.85546875" customWidth="1"/>
    <col min="1540" max="1540" width="9" customWidth="1"/>
    <col min="1541" max="1541" width="8.5703125" customWidth="1"/>
    <col min="1542" max="1542" width="9.7109375" customWidth="1"/>
    <col min="1543" max="1543" width="11.28515625" customWidth="1"/>
    <col min="1789" max="1789" width="33.28515625" customWidth="1"/>
    <col min="1790" max="1790" width="8.5703125" customWidth="1"/>
    <col min="1791" max="1791" width="9.28515625" customWidth="1"/>
    <col min="1793" max="1793" width="8" customWidth="1"/>
    <col min="1794" max="1794" width="7.42578125" customWidth="1"/>
    <col min="1795" max="1795" width="7.85546875" customWidth="1"/>
    <col min="1796" max="1796" width="9" customWidth="1"/>
    <col min="1797" max="1797" width="8.5703125" customWidth="1"/>
    <col min="1798" max="1798" width="9.7109375" customWidth="1"/>
    <col min="1799" max="1799" width="11.28515625" customWidth="1"/>
    <col min="2045" max="2045" width="33.28515625" customWidth="1"/>
    <col min="2046" max="2046" width="8.5703125" customWidth="1"/>
    <col min="2047" max="2047" width="9.28515625" customWidth="1"/>
    <col min="2049" max="2049" width="8" customWidth="1"/>
    <col min="2050" max="2050" width="7.42578125" customWidth="1"/>
    <col min="2051" max="2051" width="7.85546875" customWidth="1"/>
    <col min="2052" max="2052" width="9" customWidth="1"/>
    <col min="2053" max="2053" width="8.5703125" customWidth="1"/>
    <col min="2054" max="2054" width="9.7109375" customWidth="1"/>
    <col min="2055" max="2055" width="11.28515625" customWidth="1"/>
    <col min="2301" max="2301" width="33.28515625" customWidth="1"/>
    <col min="2302" max="2302" width="8.5703125" customWidth="1"/>
    <col min="2303" max="2303" width="9.28515625" customWidth="1"/>
    <col min="2305" max="2305" width="8" customWidth="1"/>
    <col min="2306" max="2306" width="7.42578125" customWidth="1"/>
    <col min="2307" max="2307" width="7.85546875" customWidth="1"/>
    <col min="2308" max="2308" width="9" customWidth="1"/>
    <col min="2309" max="2309" width="8.5703125" customWidth="1"/>
    <col min="2310" max="2310" width="9.7109375" customWidth="1"/>
    <col min="2311" max="2311" width="11.28515625" customWidth="1"/>
    <col min="2557" max="2557" width="33.28515625" customWidth="1"/>
    <col min="2558" max="2558" width="8.5703125" customWidth="1"/>
    <col min="2559" max="2559" width="9.28515625" customWidth="1"/>
    <col min="2561" max="2561" width="8" customWidth="1"/>
    <col min="2562" max="2562" width="7.42578125" customWidth="1"/>
    <col min="2563" max="2563" width="7.85546875" customWidth="1"/>
    <col min="2564" max="2564" width="9" customWidth="1"/>
    <col min="2565" max="2565" width="8.5703125" customWidth="1"/>
    <col min="2566" max="2566" width="9.7109375" customWidth="1"/>
    <col min="2567" max="2567" width="11.28515625" customWidth="1"/>
    <col min="2813" max="2813" width="33.28515625" customWidth="1"/>
    <col min="2814" max="2814" width="8.5703125" customWidth="1"/>
    <col min="2815" max="2815" width="9.28515625" customWidth="1"/>
    <col min="2817" max="2817" width="8" customWidth="1"/>
    <col min="2818" max="2818" width="7.42578125" customWidth="1"/>
    <col min="2819" max="2819" width="7.85546875" customWidth="1"/>
    <col min="2820" max="2820" width="9" customWidth="1"/>
    <col min="2821" max="2821" width="8.5703125" customWidth="1"/>
    <col min="2822" max="2822" width="9.7109375" customWidth="1"/>
    <col min="2823" max="2823" width="11.28515625" customWidth="1"/>
    <col min="3069" max="3069" width="33.28515625" customWidth="1"/>
    <col min="3070" max="3070" width="8.5703125" customWidth="1"/>
    <col min="3071" max="3071" width="9.28515625" customWidth="1"/>
    <col min="3073" max="3073" width="8" customWidth="1"/>
    <col min="3074" max="3074" width="7.42578125" customWidth="1"/>
    <col min="3075" max="3075" width="7.85546875" customWidth="1"/>
    <col min="3076" max="3076" width="9" customWidth="1"/>
    <col min="3077" max="3077" width="8.5703125" customWidth="1"/>
    <col min="3078" max="3078" width="9.7109375" customWidth="1"/>
    <col min="3079" max="3079" width="11.28515625" customWidth="1"/>
    <col min="3325" max="3325" width="33.28515625" customWidth="1"/>
    <col min="3326" max="3326" width="8.5703125" customWidth="1"/>
    <col min="3327" max="3327" width="9.28515625" customWidth="1"/>
    <col min="3329" max="3329" width="8" customWidth="1"/>
    <col min="3330" max="3330" width="7.42578125" customWidth="1"/>
    <col min="3331" max="3331" width="7.85546875" customWidth="1"/>
    <col min="3332" max="3332" width="9" customWidth="1"/>
    <col min="3333" max="3333" width="8.5703125" customWidth="1"/>
    <col min="3334" max="3334" width="9.7109375" customWidth="1"/>
    <col min="3335" max="3335" width="11.28515625" customWidth="1"/>
    <col min="3581" max="3581" width="33.28515625" customWidth="1"/>
    <col min="3582" max="3582" width="8.5703125" customWidth="1"/>
    <col min="3583" max="3583" width="9.28515625" customWidth="1"/>
    <col min="3585" max="3585" width="8" customWidth="1"/>
    <col min="3586" max="3586" width="7.42578125" customWidth="1"/>
    <col min="3587" max="3587" width="7.85546875" customWidth="1"/>
    <col min="3588" max="3588" width="9" customWidth="1"/>
    <col min="3589" max="3589" width="8.5703125" customWidth="1"/>
    <col min="3590" max="3590" width="9.7109375" customWidth="1"/>
    <col min="3591" max="3591" width="11.28515625" customWidth="1"/>
    <col min="3837" max="3837" width="33.28515625" customWidth="1"/>
    <col min="3838" max="3838" width="8.5703125" customWidth="1"/>
    <col min="3839" max="3839" width="9.28515625" customWidth="1"/>
    <col min="3841" max="3841" width="8" customWidth="1"/>
    <col min="3842" max="3842" width="7.42578125" customWidth="1"/>
    <col min="3843" max="3843" width="7.85546875" customWidth="1"/>
    <col min="3844" max="3844" width="9" customWidth="1"/>
    <col min="3845" max="3845" width="8.5703125" customWidth="1"/>
    <col min="3846" max="3846" width="9.7109375" customWidth="1"/>
    <col min="3847" max="3847" width="11.28515625" customWidth="1"/>
    <col min="4093" max="4093" width="33.28515625" customWidth="1"/>
    <col min="4094" max="4094" width="8.5703125" customWidth="1"/>
    <col min="4095" max="4095" width="9.28515625" customWidth="1"/>
    <col min="4097" max="4097" width="8" customWidth="1"/>
    <col min="4098" max="4098" width="7.42578125" customWidth="1"/>
    <col min="4099" max="4099" width="7.85546875" customWidth="1"/>
    <col min="4100" max="4100" width="9" customWidth="1"/>
    <col min="4101" max="4101" width="8.5703125" customWidth="1"/>
    <col min="4102" max="4102" width="9.7109375" customWidth="1"/>
    <col min="4103" max="4103" width="11.28515625" customWidth="1"/>
    <col min="4349" max="4349" width="33.28515625" customWidth="1"/>
    <col min="4350" max="4350" width="8.5703125" customWidth="1"/>
    <col min="4351" max="4351" width="9.28515625" customWidth="1"/>
    <col min="4353" max="4353" width="8" customWidth="1"/>
    <col min="4354" max="4354" width="7.42578125" customWidth="1"/>
    <col min="4355" max="4355" width="7.85546875" customWidth="1"/>
    <col min="4356" max="4356" width="9" customWidth="1"/>
    <col min="4357" max="4357" width="8.5703125" customWidth="1"/>
    <col min="4358" max="4358" width="9.7109375" customWidth="1"/>
    <col min="4359" max="4359" width="11.28515625" customWidth="1"/>
    <col min="4605" max="4605" width="33.28515625" customWidth="1"/>
    <col min="4606" max="4606" width="8.5703125" customWidth="1"/>
    <col min="4607" max="4607" width="9.28515625" customWidth="1"/>
    <col min="4609" max="4609" width="8" customWidth="1"/>
    <col min="4610" max="4610" width="7.42578125" customWidth="1"/>
    <col min="4611" max="4611" width="7.85546875" customWidth="1"/>
    <col min="4612" max="4612" width="9" customWidth="1"/>
    <col min="4613" max="4613" width="8.5703125" customWidth="1"/>
    <col min="4614" max="4614" width="9.7109375" customWidth="1"/>
    <col min="4615" max="4615" width="11.28515625" customWidth="1"/>
    <col min="4861" max="4861" width="33.28515625" customWidth="1"/>
    <col min="4862" max="4862" width="8.5703125" customWidth="1"/>
    <col min="4863" max="4863" width="9.28515625" customWidth="1"/>
    <col min="4865" max="4865" width="8" customWidth="1"/>
    <col min="4866" max="4866" width="7.42578125" customWidth="1"/>
    <col min="4867" max="4867" width="7.85546875" customWidth="1"/>
    <col min="4868" max="4868" width="9" customWidth="1"/>
    <col min="4869" max="4869" width="8.5703125" customWidth="1"/>
    <col min="4870" max="4870" width="9.7109375" customWidth="1"/>
    <col min="4871" max="4871" width="11.28515625" customWidth="1"/>
    <col min="5117" max="5117" width="33.28515625" customWidth="1"/>
    <col min="5118" max="5118" width="8.5703125" customWidth="1"/>
    <col min="5119" max="5119" width="9.28515625" customWidth="1"/>
    <col min="5121" max="5121" width="8" customWidth="1"/>
    <col min="5122" max="5122" width="7.42578125" customWidth="1"/>
    <col min="5123" max="5123" width="7.85546875" customWidth="1"/>
    <col min="5124" max="5124" width="9" customWidth="1"/>
    <col min="5125" max="5125" width="8.5703125" customWidth="1"/>
    <col min="5126" max="5126" width="9.7109375" customWidth="1"/>
    <col min="5127" max="5127" width="11.28515625" customWidth="1"/>
    <col min="5373" max="5373" width="33.28515625" customWidth="1"/>
    <col min="5374" max="5374" width="8.5703125" customWidth="1"/>
    <col min="5375" max="5375" width="9.28515625" customWidth="1"/>
    <col min="5377" max="5377" width="8" customWidth="1"/>
    <col min="5378" max="5378" width="7.42578125" customWidth="1"/>
    <col min="5379" max="5379" width="7.85546875" customWidth="1"/>
    <col min="5380" max="5380" width="9" customWidth="1"/>
    <col min="5381" max="5381" width="8.5703125" customWidth="1"/>
    <col min="5382" max="5382" width="9.7109375" customWidth="1"/>
    <col min="5383" max="5383" width="11.28515625" customWidth="1"/>
    <col min="5629" max="5629" width="33.28515625" customWidth="1"/>
    <col min="5630" max="5630" width="8.5703125" customWidth="1"/>
    <col min="5631" max="5631" width="9.28515625" customWidth="1"/>
    <col min="5633" max="5633" width="8" customWidth="1"/>
    <col min="5634" max="5634" width="7.42578125" customWidth="1"/>
    <col min="5635" max="5635" width="7.85546875" customWidth="1"/>
    <col min="5636" max="5636" width="9" customWidth="1"/>
    <col min="5637" max="5637" width="8.5703125" customWidth="1"/>
    <col min="5638" max="5638" width="9.7109375" customWidth="1"/>
    <col min="5639" max="5639" width="11.28515625" customWidth="1"/>
    <col min="5885" max="5885" width="33.28515625" customWidth="1"/>
    <col min="5886" max="5886" width="8.5703125" customWidth="1"/>
    <col min="5887" max="5887" width="9.28515625" customWidth="1"/>
    <col min="5889" max="5889" width="8" customWidth="1"/>
    <col min="5890" max="5890" width="7.42578125" customWidth="1"/>
    <col min="5891" max="5891" width="7.85546875" customWidth="1"/>
    <col min="5892" max="5892" width="9" customWidth="1"/>
    <col min="5893" max="5893" width="8.5703125" customWidth="1"/>
    <col min="5894" max="5894" width="9.7109375" customWidth="1"/>
    <col min="5895" max="5895" width="11.28515625" customWidth="1"/>
    <col min="6141" max="6141" width="33.28515625" customWidth="1"/>
    <col min="6142" max="6142" width="8.5703125" customWidth="1"/>
    <col min="6143" max="6143" width="9.28515625" customWidth="1"/>
    <col min="6145" max="6145" width="8" customWidth="1"/>
    <col min="6146" max="6146" width="7.42578125" customWidth="1"/>
    <col min="6147" max="6147" width="7.85546875" customWidth="1"/>
    <col min="6148" max="6148" width="9" customWidth="1"/>
    <col min="6149" max="6149" width="8.5703125" customWidth="1"/>
    <col min="6150" max="6150" width="9.7109375" customWidth="1"/>
    <col min="6151" max="6151" width="11.28515625" customWidth="1"/>
    <col min="6397" max="6397" width="33.28515625" customWidth="1"/>
    <col min="6398" max="6398" width="8.5703125" customWidth="1"/>
    <col min="6399" max="6399" width="9.28515625" customWidth="1"/>
    <col min="6401" max="6401" width="8" customWidth="1"/>
    <col min="6402" max="6402" width="7.42578125" customWidth="1"/>
    <col min="6403" max="6403" width="7.85546875" customWidth="1"/>
    <col min="6404" max="6404" width="9" customWidth="1"/>
    <col min="6405" max="6405" width="8.5703125" customWidth="1"/>
    <col min="6406" max="6406" width="9.7109375" customWidth="1"/>
    <col min="6407" max="6407" width="11.28515625" customWidth="1"/>
    <col min="6653" max="6653" width="33.28515625" customWidth="1"/>
    <col min="6654" max="6654" width="8.5703125" customWidth="1"/>
    <col min="6655" max="6655" width="9.28515625" customWidth="1"/>
    <col min="6657" max="6657" width="8" customWidth="1"/>
    <col min="6658" max="6658" width="7.42578125" customWidth="1"/>
    <col min="6659" max="6659" width="7.85546875" customWidth="1"/>
    <col min="6660" max="6660" width="9" customWidth="1"/>
    <col min="6661" max="6661" width="8.5703125" customWidth="1"/>
    <col min="6662" max="6662" width="9.7109375" customWidth="1"/>
    <col min="6663" max="6663" width="11.28515625" customWidth="1"/>
    <col min="6909" max="6909" width="33.28515625" customWidth="1"/>
    <col min="6910" max="6910" width="8.5703125" customWidth="1"/>
    <col min="6911" max="6911" width="9.28515625" customWidth="1"/>
    <col min="6913" max="6913" width="8" customWidth="1"/>
    <col min="6914" max="6914" width="7.42578125" customWidth="1"/>
    <col min="6915" max="6915" width="7.85546875" customWidth="1"/>
    <col min="6916" max="6916" width="9" customWidth="1"/>
    <col min="6917" max="6917" width="8.5703125" customWidth="1"/>
    <col min="6918" max="6918" width="9.7109375" customWidth="1"/>
    <col min="6919" max="6919" width="11.28515625" customWidth="1"/>
    <col min="7165" max="7165" width="33.28515625" customWidth="1"/>
    <col min="7166" max="7166" width="8.5703125" customWidth="1"/>
    <col min="7167" max="7167" width="9.28515625" customWidth="1"/>
    <col min="7169" max="7169" width="8" customWidth="1"/>
    <col min="7170" max="7170" width="7.42578125" customWidth="1"/>
    <col min="7171" max="7171" width="7.85546875" customWidth="1"/>
    <col min="7172" max="7172" width="9" customWidth="1"/>
    <col min="7173" max="7173" width="8.5703125" customWidth="1"/>
    <col min="7174" max="7174" width="9.7109375" customWidth="1"/>
    <col min="7175" max="7175" width="11.28515625" customWidth="1"/>
    <col min="7421" max="7421" width="33.28515625" customWidth="1"/>
    <col min="7422" max="7422" width="8.5703125" customWidth="1"/>
    <col min="7423" max="7423" width="9.28515625" customWidth="1"/>
    <col min="7425" max="7425" width="8" customWidth="1"/>
    <col min="7426" max="7426" width="7.42578125" customWidth="1"/>
    <col min="7427" max="7427" width="7.85546875" customWidth="1"/>
    <col min="7428" max="7428" width="9" customWidth="1"/>
    <col min="7429" max="7429" width="8.5703125" customWidth="1"/>
    <col min="7430" max="7430" width="9.7109375" customWidth="1"/>
    <col min="7431" max="7431" width="11.28515625" customWidth="1"/>
    <col min="7677" max="7677" width="33.28515625" customWidth="1"/>
    <col min="7678" max="7678" width="8.5703125" customWidth="1"/>
    <col min="7679" max="7679" width="9.28515625" customWidth="1"/>
    <col min="7681" max="7681" width="8" customWidth="1"/>
    <col min="7682" max="7682" width="7.42578125" customWidth="1"/>
    <col min="7683" max="7683" width="7.85546875" customWidth="1"/>
    <col min="7684" max="7684" width="9" customWidth="1"/>
    <col min="7685" max="7685" width="8.5703125" customWidth="1"/>
    <col min="7686" max="7686" width="9.7109375" customWidth="1"/>
    <col min="7687" max="7687" width="11.28515625" customWidth="1"/>
    <col min="7933" max="7933" width="33.28515625" customWidth="1"/>
    <col min="7934" max="7934" width="8.5703125" customWidth="1"/>
    <col min="7935" max="7935" width="9.28515625" customWidth="1"/>
    <col min="7937" max="7937" width="8" customWidth="1"/>
    <col min="7938" max="7938" width="7.42578125" customWidth="1"/>
    <col min="7939" max="7939" width="7.85546875" customWidth="1"/>
    <col min="7940" max="7940" width="9" customWidth="1"/>
    <col min="7941" max="7941" width="8.5703125" customWidth="1"/>
    <col min="7942" max="7942" width="9.7109375" customWidth="1"/>
    <col min="7943" max="7943" width="11.28515625" customWidth="1"/>
    <col min="8189" max="8189" width="33.28515625" customWidth="1"/>
    <col min="8190" max="8190" width="8.5703125" customWidth="1"/>
    <col min="8191" max="8191" width="9.28515625" customWidth="1"/>
    <col min="8193" max="8193" width="8" customWidth="1"/>
    <col min="8194" max="8194" width="7.42578125" customWidth="1"/>
    <col min="8195" max="8195" width="7.85546875" customWidth="1"/>
    <col min="8196" max="8196" width="9" customWidth="1"/>
    <col min="8197" max="8197" width="8.5703125" customWidth="1"/>
    <col min="8198" max="8198" width="9.7109375" customWidth="1"/>
    <col min="8199" max="8199" width="11.28515625" customWidth="1"/>
    <col min="8445" max="8445" width="33.28515625" customWidth="1"/>
    <col min="8446" max="8446" width="8.5703125" customWidth="1"/>
    <col min="8447" max="8447" width="9.28515625" customWidth="1"/>
    <col min="8449" max="8449" width="8" customWidth="1"/>
    <col min="8450" max="8450" width="7.42578125" customWidth="1"/>
    <col min="8451" max="8451" width="7.85546875" customWidth="1"/>
    <col min="8452" max="8452" width="9" customWidth="1"/>
    <col min="8453" max="8453" width="8.5703125" customWidth="1"/>
    <col min="8454" max="8454" width="9.7109375" customWidth="1"/>
    <col min="8455" max="8455" width="11.28515625" customWidth="1"/>
    <col min="8701" max="8701" width="33.28515625" customWidth="1"/>
    <col min="8702" max="8702" width="8.5703125" customWidth="1"/>
    <col min="8703" max="8703" width="9.28515625" customWidth="1"/>
    <col min="8705" max="8705" width="8" customWidth="1"/>
    <col min="8706" max="8706" width="7.42578125" customWidth="1"/>
    <col min="8707" max="8707" width="7.85546875" customWidth="1"/>
    <col min="8708" max="8708" width="9" customWidth="1"/>
    <col min="8709" max="8709" width="8.5703125" customWidth="1"/>
    <col min="8710" max="8710" width="9.7109375" customWidth="1"/>
    <col min="8711" max="8711" width="11.28515625" customWidth="1"/>
    <col min="8957" max="8957" width="33.28515625" customWidth="1"/>
    <col min="8958" max="8958" width="8.5703125" customWidth="1"/>
    <col min="8959" max="8959" width="9.28515625" customWidth="1"/>
    <col min="8961" max="8961" width="8" customWidth="1"/>
    <col min="8962" max="8962" width="7.42578125" customWidth="1"/>
    <col min="8963" max="8963" width="7.85546875" customWidth="1"/>
    <col min="8964" max="8964" width="9" customWidth="1"/>
    <col min="8965" max="8965" width="8.5703125" customWidth="1"/>
    <col min="8966" max="8966" width="9.7109375" customWidth="1"/>
    <col min="8967" max="8967" width="11.28515625" customWidth="1"/>
    <col min="9213" max="9213" width="33.28515625" customWidth="1"/>
    <col min="9214" max="9214" width="8.5703125" customWidth="1"/>
    <col min="9215" max="9215" width="9.28515625" customWidth="1"/>
    <col min="9217" max="9217" width="8" customWidth="1"/>
    <col min="9218" max="9218" width="7.42578125" customWidth="1"/>
    <col min="9219" max="9219" width="7.85546875" customWidth="1"/>
    <col min="9220" max="9220" width="9" customWidth="1"/>
    <col min="9221" max="9221" width="8.5703125" customWidth="1"/>
    <col min="9222" max="9222" width="9.7109375" customWidth="1"/>
    <col min="9223" max="9223" width="11.28515625" customWidth="1"/>
    <col min="9469" max="9469" width="33.28515625" customWidth="1"/>
    <col min="9470" max="9470" width="8.5703125" customWidth="1"/>
    <col min="9471" max="9471" width="9.28515625" customWidth="1"/>
    <col min="9473" max="9473" width="8" customWidth="1"/>
    <col min="9474" max="9474" width="7.42578125" customWidth="1"/>
    <col min="9475" max="9475" width="7.85546875" customWidth="1"/>
    <col min="9476" max="9476" width="9" customWidth="1"/>
    <col min="9477" max="9477" width="8.5703125" customWidth="1"/>
    <col min="9478" max="9478" width="9.7109375" customWidth="1"/>
    <col min="9479" max="9479" width="11.28515625" customWidth="1"/>
    <col min="9725" max="9725" width="33.28515625" customWidth="1"/>
    <col min="9726" max="9726" width="8.5703125" customWidth="1"/>
    <col min="9727" max="9727" width="9.28515625" customWidth="1"/>
    <col min="9729" max="9729" width="8" customWidth="1"/>
    <col min="9730" max="9730" width="7.42578125" customWidth="1"/>
    <col min="9731" max="9731" width="7.85546875" customWidth="1"/>
    <col min="9732" max="9732" width="9" customWidth="1"/>
    <col min="9733" max="9733" width="8.5703125" customWidth="1"/>
    <col min="9734" max="9734" width="9.7109375" customWidth="1"/>
    <col min="9735" max="9735" width="11.28515625" customWidth="1"/>
    <col min="9981" max="9981" width="33.28515625" customWidth="1"/>
    <col min="9982" max="9982" width="8.5703125" customWidth="1"/>
    <col min="9983" max="9983" width="9.28515625" customWidth="1"/>
    <col min="9985" max="9985" width="8" customWidth="1"/>
    <col min="9986" max="9986" width="7.42578125" customWidth="1"/>
    <col min="9987" max="9987" width="7.85546875" customWidth="1"/>
    <col min="9988" max="9988" width="9" customWidth="1"/>
    <col min="9989" max="9989" width="8.5703125" customWidth="1"/>
    <col min="9990" max="9990" width="9.7109375" customWidth="1"/>
    <col min="9991" max="9991" width="11.28515625" customWidth="1"/>
    <col min="10237" max="10237" width="33.28515625" customWidth="1"/>
    <col min="10238" max="10238" width="8.5703125" customWidth="1"/>
    <col min="10239" max="10239" width="9.28515625" customWidth="1"/>
    <col min="10241" max="10241" width="8" customWidth="1"/>
    <col min="10242" max="10242" width="7.42578125" customWidth="1"/>
    <col min="10243" max="10243" width="7.85546875" customWidth="1"/>
    <col min="10244" max="10244" width="9" customWidth="1"/>
    <col min="10245" max="10245" width="8.5703125" customWidth="1"/>
    <col min="10246" max="10246" width="9.7109375" customWidth="1"/>
    <col min="10247" max="10247" width="11.28515625" customWidth="1"/>
    <col min="10493" max="10493" width="33.28515625" customWidth="1"/>
    <col min="10494" max="10494" width="8.5703125" customWidth="1"/>
    <col min="10495" max="10495" width="9.28515625" customWidth="1"/>
    <col min="10497" max="10497" width="8" customWidth="1"/>
    <col min="10498" max="10498" width="7.42578125" customWidth="1"/>
    <col min="10499" max="10499" width="7.85546875" customWidth="1"/>
    <col min="10500" max="10500" width="9" customWidth="1"/>
    <col min="10501" max="10501" width="8.5703125" customWidth="1"/>
    <col min="10502" max="10502" width="9.7109375" customWidth="1"/>
    <col min="10503" max="10503" width="11.28515625" customWidth="1"/>
    <col min="10749" max="10749" width="33.28515625" customWidth="1"/>
    <col min="10750" max="10750" width="8.5703125" customWidth="1"/>
    <col min="10751" max="10751" width="9.28515625" customWidth="1"/>
    <col min="10753" max="10753" width="8" customWidth="1"/>
    <col min="10754" max="10754" width="7.42578125" customWidth="1"/>
    <col min="10755" max="10755" width="7.85546875" customWidth="1"/>
    <col min="10756" max="10756" width="9" customWidth="1"/>
    <col min="10757" max="10757" width="8.5703125" customWidth="1"/>
    <col min="10758" max="10758" width="9.7109375" customWidth="1"/>
    <col min="10759" max="10759" width="11.28515625" customWidth="1"/>
    <col min="11005" max="11005" width="33.28515625" customWidth="1"/>
    <col min="11006" max="11006" width="8.5703125" customWidth="1"/>
    <col min="11007" max="11007" width="9.28515625" customWidth="1"/>
    <col min="11009" max="11009" width="8" customWidth="1"/>
    <col min="11010" max="11010" width="7.42578125" customWidth="1"/>
    <col min="11011" max="11011" width="7.85546875" customWidth="1"/>
    <col min="11012" max="11012" width="9" customWidth="1"/>
    <col min="11013" max="11013" width="8.5703125" customWidth="1"/>
    <col min="11014" max="11014" width="9.7109375" customWidth="1"/>
    <col min="11015" max="11015" width="11.28515625" customWidth="1"/>
    <col min="11261" max="11261" width="33.28515625" customWidth="1"/>
    <col min="11262" max="11262" width="8.5703125" customWidth="1"/>
    <col min="11263" max="11263" width="9.28515625" customWidth="1"/>
    <col min="11265" max="11265" width="8" customWidth="1"/>
    <col min="11266" max="11266" width="7.42578125" customWidth="1"/>
    <col min="11267" max="11267" width="7.85546875" customWidth="1"/>
    <col min="11268" max="11268" width="9" customWidth="1"/>
    <col min="11269" max="11269" width="8.5703125" customWidth="1"/>
    <col min="11270" max="11270" width="9.7109375" customWidth="1"/>
    <col min="11271" max="11271" width="11.28515625" customWidth="1"/>
    <col min="11517" max="11517" width="33.28515625" customWidth="1"/>
    <col min="11518" max="11518" width="8.5703125" customWidth="1"/>
    <col min="11519" max="11519" width="9.28515625" customWidth="1"/>
    <col min="11521" max="11521" width="8" customWidth="1"/>
    <col min="11522" max="11522" width="7.42578125" customWidth="1"/>
    <col min="11523" max="11523" width="7.85546875" customWidth="1"/>
    <col min="11524" max="11524" width="9" customWidth="1"/>
    <col min="11525" max="11525" width="8.5703125" customWidth="1"/>
    <col min="11526" max="11526" width="9.7109375" customWidth="1"/>
    <col min="11527" max="11527" width="11.28515625" customWidth="1"/>
    <col min="11773" max="11773" width="33.28515625" customWidth="1"/>
    <col min="11774" max="11774" width="8.5703125" customWidth="1"/>
    <col min="11775" max="11775" width="9.28515625" customWidth="1"/>
    <col min="11777" max="11777" width="8" customWidth="1"/>
    <col min="11778" max="11778" width="7.42578125" customWidth="1"/>
    <col min="11779" max="11779" width="7.85546875" customWidth="1"/>
    <col min="11780" max="11780" width="9" customWidth="1"/>
    <col min="11781" max="11781" width="8.5703125" customWidth="1"/>
    <col min="11782" max="11782" width="9.7109375" customWidth="1"/>
    <col min="11783" max="11783" width="11.28515625" customWidth="1"/>
    <col min="12029" max="12029" width="33.28515625" customWidth="1"/>
    <col min="12030" max="12030" width="8.5703125" customWidth="1"/>
    <col min="12031" max="12031" width="9.28515625" customWidth="1"/>
    <col min="12033" max="12033" width="8" customWidth="1"/>
    <col min="12034" max="12034" width="7.42578125" customWidth="1"/>
    <col min="12035" max="12035" width="7.85546875" customWidth="1"/>
    <col min="12036" max="12036" width="9" customWidth="1"/>
    <col min="12037" max="12037" width="8.5703125" customWidth="1"/>
    <col min="12038" max="12038" width="9.7109375" customWidth="1"/>
    <col min="12039" max="12039" width="11.28515625" customWidth="1"/>
    <col min="12285" max="12285" width="33.28515625" customWidth="1"/>
    <col min="12286" max="12286" width="8.5703125" customWidth="1"/>
    <col min="12287" max="12287" width="9.28515625" customWidth="1"/>
    <col min="12289" max="12289" width="8" customWidth="1"/>
    <col min="12290" max="12290" width="7.42578125" customWidth="1"/>
    <col min="12291" max="12291" width="7.85546875" customWidth="1"/>
    <col min="12292" max="12292" width="9" customWidth="1"/>
    <col min="12293" max="12293" width="8.5703125" customWidth="1"/>
    <col min="12294" max="12294" width="9.7109375" customWidth="1"/>
    <col min="12295" max="12295" width="11.28515625" customWidth="1"/>
    <col min="12541" max="12541" width="33.28515625" customWidth="1"/>
    <col min="12542" max="12542" width="8.5703125" customWidth="1"/>
    <col min="12543" max="12543" width="9.28515625" customWidth="1"/>
    <col min="12545" max="12545" width="8" customWidth="1"/>
    <col min="12546" max="12546" width="7.42578125" customWidth="1"/>
    <col min="12547" max="12547" width="7.85546875" customWidth="1"/>
    <col min="12548" max="12548" width="9" customWidth="1"/>
    <col min="12549" max="12549" width="8.5703125" customWidth="1"/>
    <col min="12550" max="12550" width="9.7109375" customWidth="1"/>
    <col min="12551" max="12551" width="11.28515625" customWidth="1"/>
    <col min="12797" max="12797" width="33.28515625" customWidth="1"/>
    <col min="12798" max="12798" width="8.5703125" customWidth="1"/>
    <col min="12799" max="12799" width="9.28515625" customWidth="1"/>
    <col min="12801" max="12801" width="8" customWidth="1"/>
    <col min="12802" max="12802" width="7.42578125" customWidth="1"/>
    <col min="12803" max="12803" width="7.85546875" customWidth="1"/>
    <col min="12804" max="12804" width="9" customWidth="1"/>
    <col min="12805" max="12805" width="8.5703125" customWidth="1"/>
    <col min="12806" max="12806" width="9.7109375" customWidth="1"/>
    <col min="12807" max="12807" width="11.28515625" customWidth="1"/>
    <col min="13053" max="13053" width="33.28515625" customWidth="1"/>
    <col min="13054" max="13054" width="8.5703125" customWidth="1"/>
    <col min="13055" max="13055" width="9.28515625" customWidth="1"/>
    <col min="13057" max="13057" width="8" customWidth="1"/>
    <col min="13058" max="13058" width="7.42578125" customWidth="1"/>
    <col min="13059" max="13059" width="7.85546875" customWidth="1"/>
    <col min="13060" max="13060" width="9" customWidth="1"/>
    <col min="13061" max="13061" width="8.5703125" customWidth="1"/>
    <col min="13062" max="13062" width="9.7109375" customWidth="1"/>
    <col min="13063" max="13063" width="11.28515625" customWidth="1"/>
    <col min="13309" max="13309" width="33.28515625" customWidth="1"/>
    <col min="13310" max="13310" width="8.5703125" customWidth="1"/>
    <col min="13311" max="13311" width="9.28515625" customWidth="1"/>
    <col min="13313" max="13313" width="8" customWidth="1"/>
    <col min="13314" max="13314" width="7.42578125" customWidth="1"/>
    <col min="13315" max="13315" width="7.85546875" customWidth="1"/>
    <col min="13316" max="13316" width="9" customWidth="1"/>
    <col min="13317" max="13317" width="8.5703125" customWidth="1"/>
    <col min="13318" max="13318" width="9.7109375" customWidth="1"/>
    <col min="13319" max="13319" width="11.28515625" customWidth="1"/>
    <col min="13565" max="13565" width="33.28515625" customWidth="1"/>
    <col min="13566" max="13566" width="8.5703125" customWidth="1"/>
    <col min="13567" max="13567" width="9.28515625" customWidth="1"/>
    <col min="13569" max="13569" width="8" customWidth="1"/>
    <col min="13570" max="13570" width="7.42578125" customWidth="1"/>
    <col min="13571" max="13571" width="7.85546875" customWidth="1"/>
    <col min="13572" max="13572" width="9" customWidth="1"/>
    <col min="13573" max="13573" width="8.5703125" customWidth="1"/>
    <col min="13574" max="13574" width="9.7109375" customWidth="1"/>
    <col min="13575" max="13575" width="11.28515625" customWidth="1"/>
    <col min="13821" max="13821" width="33.28515625" customWidth="1"/>
    <col min="13822" max="13822" width="8.5703125" customWidth="1"/>
    <col min="13823" max="13823" width="9.28515625" customWidth="1"/>
    <col min="13825" max="13825" width="8" customWidth="1"/>
    <col min="13826" max="13826" width="7.42578125" customWidth="1"/>
    <col min="13827" max="13827" width="7.85546875" customWidth="1"/>
    <col min="13828" max="13828" width="9" customWidth="1"/>
    <col min="13829" max="13829" width="8.5703125" customWidth="1"/>
    <col min="13830" max="13830" width="9.7109375" customWidth="1"/>
    <col min="13831" max="13831" width="11.28515625" customWidth="1"/>
    <col min="14077" max="14077" width="33.28515625" customWidth="1"/>
    <col min="14078" max="14078" width="8.5703125" customWidth="1"/>
    <col min="14079" max="14079" width="9.28515625" customWidth="1"/>
    <col min="14081" max="14081" width="8" customWidth="1"/>
    <col min="14082" max="14082" width="7.42578125" customWidth="1"/>
    <col min="14083" max="14083" width="7.85546875" customWidth="1"/>
    <col min="14084" max="14084" width="9" customWidth="1"/>
    <col min="14085" max="14085" width="8.5703125" customWidth="1"/>
    <col min="14086" max="14086" width="9.7109375" customWidth="1"/>
    <col min="14087" max="14087" width="11.28515625" customWidth="1"/>
    <col min="14333" max="14333" width="33.28515625" customWidth="1"/>
    <col min="14334" max="14334" width="8.5703125" customWidth="1"/>
    <col min="14335" max="14335" width="9.28515625" customWidth="1"/>
    <col min="14337" max="14337" width="8" customWidth="1"/>
    <col min="14338" max="14338" width="7.42578125" customWidth="1"/>
    <col min="14339" max="14339" width="7.85546875" customWidth="1"/>
    <col min="14340" max="14340" width="9" customWidth="1"/>
    <col min="14341" max="14341" width="8.5703125" customWidth="1"/>
    <col min="14342" max="14342" width="9.7109375" customWidth="1"/>
    <col min="14343" max="14343" width="11.28515625" customWidth="1"/>
    <col min="14589" max="14589" width="33.28515625" customWidth="1"/>
    <col min="14590" max="14590" width="8.5703125" customWidth="1"/>
    <col min="14591" max="14591" width="9.28515625" customWidth="1"/>
    <col min="14593" max="14593" width="8" customWidth="1"/>
    <col min="14594" max="14594" width="7.42578125" customWidth="1"/>
    <col min="14595" max="14595" width="7.85546875" customWidth="1"/>
    <col min="14596" max="14596" width="9" customWidth="1"/>
    <col min="14597" max="14597" width="8.5703125" customWidth="1"/>
    <col min="14598" max="14598" width="9.7109375" customWidth="1"/>
    <col min="14599" max="14599" width="11.28515625" customWidth="1"/>
    <col min="14845" max="14845" width="33.28515625" customWidth="1"/>
    <col min="14846" max="14846" width="8.5703125" customWidth="1"/>
    <col min="14847" max="14847" width="9.28515625" customWidth="1"/>
    <col min="14849" max="14849" width="8" customWidth="1"/>
    <col min="14850" max="14850" width="7.42578125" customWidth="1"/>
    <col min="14851" max="14851" width="7.85546875" customWidth="1"/>
    <col min="14852" max="14852" width="9" customWidth="1"/>
    <col min="14853" max="14853" width="8.5703125" customWidth="1"/>
    <col min="14854" max="14854" width="9.7109375" customWidth="1"/>
    <col min="14855" max="14855" width="11.28515625" customWidth="1"/>
    <col min="15101" max="15101" width="33.28515625" customWidth="1"/>
    <col min="15102" max="15102" width="8.5703125" customWidth="1"/>
    <col min="15103" max="15103" width="9.28515625" customWidth="1"/>
    <col min="15105" max="15105" width="8" customWidth="1"/>
    <col min="15106" max="15106" width="7.42578125" customWidth="1"/>
    <col min="15107" max="15107" width="7.85546875" customWidth="1"/>
    <col min="15108" max="15108" width="9" customWidth="1"/>
    <col min="15109" max="15109" width="8.5703125" customWidth="1"/>
    <col min="15110" max="15110" width="9.7109375" customWidth="1"/>
    <col min="15111" max="15111" width="11.28515625" customWidth="1"/>
    <col min="15357" max="15357" width="33.28515625" customWidth="1"/>
    <col min="15358" max="15358" width="8.5703125" customWidth="1"/>
    <col min="15359" max="15359" width="9.28515625" customWidth="1"/>
    <col min="15361" max="15361" width="8" customWidth="1"/>
    <col min="15362" max="15362" width="7.42578125" customWidth="1"/>
    <col min="15363" max="15363" width="7.85546875" customWidth="1"/>
    <col min="15364" max="15364" width="9" customWidth="1"/>
    <col min="15365" max="15365" width="8.5703125" customWidth="1"/>
    <col min="15366" max="15366" width="9.7109375" customWidth="1"/>
    <col min="15367" max="15367" width="11.28515625" customWidth="1"/>
    <col min="15613" max="15613" width="33.28515625" customWidth="1"/>
    <col min="15614" max="15614" width="8.5703125" customWidth="1"/>
    <col min="15615" max="15615" width="9.28515625" customWidth="1"/>
    <col min="15617" max="15617" width="8" customWidth="1"/>
    <col min="15618" max="15618" width="7.42578125" customWidth="1"/>
    <col min="15619" max="15619" width="7.85546875" customWidth="1"/>
    <col min="15620" max="15620" width="9" customWidth="1"/>
    <col min="15621" max="15621" width="8.5703125" customWidth="1"/>
    <col min="15622" max="15622" width="9.7109375" customWidth="1"/>
    <col min="15623" max="15623" width="11.28515625" customWidth="1"/>
    <col min="15869" max="15869" width="33.28515625" customWidth="1"/>
    <col min="15870" max="15870" width="8.5703125" customWidth="1"/>
    <col min="15871" max="15871" width="9.28515625" customWidth="1"/>
    <col min="15873" max="15873" width="8" customWidth="1"/>
    <col min="15874" max="15874" width="7.42578125" customWidth="1"/>
    <col min="15875" max="15875" width="7.85546875" customWidth="1"/>
    <col min="15876" max="15876" width="9" customWidth="1"/>
    <col min="15877" max="15877" width="8.5703125" customWidth="1"/>
    <col min="15878" max="15878" width="9.7109375" customWidth="1"/>
    <col min="15879" max="15879" width="11.28515625" customWidth="1"/>
    <col min="16125" max="16125" width="33.28515625" customWidth="1"/>
    <col min="16126" max="16126" width="8.5703125" customWidth="1"/>
    <col min="16127" max="16127" width="9.28515625" customWidth="1"/>
    <col min="16129" max="16129" width="8" customWidth="1"/>
    <col min="16130" max="16130" width="7.42578125" customWidth="1"/>
    <col min="16131" max="16131" width="7.85546875" customWidth="1"/>
    <col min="16132" max="16132" width="9" customWidth="1"/>
    <col min="16133" max="16133" width="8.5703125" customWidth="1"/>
    <col min="16134" max="16134" width="9.7109375" customWidth="1"/>
    <col min="16135" max="16135" width="11.28515625" customWidth="1"/>
  </cols>
  <sheetData>
    <row r="1" spans="1:10" ht="15.75" x14ac:dyDescent="0.25">
      <c r="A1" s="1" t="s">
        <v>86</v>
      </c>
      <c r="B1" s="78"/>
      <c r="C1" s="79"/>
      <c r="D1" s="80"/>
      <c r="E1" s="80"/>
      <c r="F1" s="80"/>
      <c r="G1" s="80"/>
      <c r="H1" s="80"/>
      <c r="I1" s="80"/>
      <c r="J1" s="80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1</v>
      </c>
      <c r="B4" s="3"/>
      <c r="C4" s="3"/>
      <c r="D4" s="3" t="s">
        <v>2</v>
      </c>
      <c r="E4" s="81"/>
      <c r="F4" s="3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3" t="s">
        <v>3</v>
      </c>
      <c r="B6" s="3"/>
      <c r="C6" s="3" t="s">
        <v>4</v>
      </c>
      <c r="D6" s="3" t="s">
        <v>5</v>
      </c>
      <c r="E6" s="82">
        <v>45981</v>
      </c>
      <c r="F6" s="5"/>
      <c r="G6" s="2"/>
      <c r="H6" s="121"/>
      <c r="I6" s="122"/>
      <c r="J6" s="2"/>
    </row>
    <row r="7" spans="1:10" ht="19.5" customHeight="1" thickBot="1" x14ac:dyDescent="0.3">
      <c r="A7" s="2"/>
      <c r="B7" s="2"/>
      <c r="C7" s="2"/>
      <c r="D7" s="2"/>
      <c r="E7" s="2"/>
      <c r="F7" s="83"/>
      <c r="G7" s="2"/>
      <c r="H7" s="83"/>
      <c r="I7" s="2"/>
      <c r="J7" s="2"/>
    </row>
    <row r="8" spans="1:10" s="16" customFormat="1" ht="15.75" thickBot="1" x14ac:dyDescent="0.3">
      <c r="A8" s="6" t="s">
        <v>6</v>
      </c>
      <c r="B8" s="7" t="s">
        <v>7</v>
      </c>
      <c r="C8" s="8" t="s">
        <v>8</v>
      </c>
      <c r="D8" s="8" t="s">
        <v>9</v>
      </c>
      <c r="E8" s="9" t="s">
        <v>10</v>
      </c>
      <c r="F8" s="8" t="s">
        <v>11</v>
      </c>
      <c r="G8" s="9" t="s">
        <v>12</v>
      </c>
    </row>
    <row r="9" spans="1:10" ht="30.75" thickBot="1" x14ac:dyDescent="0.3">
      <c r="A9" s="10" t="s">
        <v>87</v>
      </c>
      <c r="B9" s="11" t="s">
        <v>14</v>
      </c>
      <c r="C9" s="12">
        <v>50350</v>
      </c>
      <c r="D9" s="84" t="s">
        <v>88</v>
      </c>
      <c r="E9" s="13">
        <f>94.02*30</f>
        <v>2820.6</v>
      </c>
      <c r="F9" s="14" t="s">
        <v>16</v>
      </c>
      <c r="G9" s="8" t="s">
        <v>17</v>
      </c>
      <c r="H9" s="85"/>
      <c r="I9" s="85"/>
    </row>
    <row r="10" spans="1:10" ht="19.5" customHeight="1" thickBot="1" x14ac:dyDescent="0.3">
      <c r="A10" s="86"/>
      <c r="B10" s="87" t="s">
        <v>7</v>
      </c>
      <c r="C10" s="19"/>
      <c r="D10" s="21"/>
      <c r="E10" s="21">
        <f>SUM(E9:E9)</f>
        <v>2820.6</v>
      </c>
      <c r="F10" s="22"/>
      <c r="G10" s="23"/>
      <c r="J10" s="88"/>
    </row>
    <row r="11" spans="1:10" x14ac:dyDescent="0.25">
      <c r="A11" s="24" t="s">
        <v>20</v>
      </c>
      <c r="B11" s="25" t="s">
        <v>7</v>
      </c>
      <c r="C11" s="26" t="s">
        <v>21</v>
      </c>
      <c r="D11" s="89" t="s">
        <v>22</v>
      </c>
      <c r="E11" s="26" t="s">
        <v>23</v>
      </c>
      <c r="F11" s="26"/>
      <c r="G11" s="27"/>
    </row>
    <row r="12" spans="1:10" x14ac:dyDescent="0.25">
      <c r="A12" s="28"/>
      <c r="B12" s="29"/>
      <c r="C12" s="2"/>
      <c r="D12" s="90"/>
      <c r="E12" s="2"/>
      <c r="F12" s="2"/>
      <c r="G12" s="30"/>
    </row>
    <row r="13" spans="1:10" ht="19.5" customHeight="1" thickBot="1" x14ac:dyDescent="0.3">
      <c r="A13" s="31"/>
      <c r="B13" s="32"/>
      <c r="C13" s="32"/>
      <c r="D13" s="32"/>
      <c r="E13" s="32"/>
      <c r="F13" s="32"/>
      <c r="G13" s="33"/>
    </row>
    <row r="14" spans="1:10" x14ac:dyDescent="0.25">
      <c r="A14" s="34"/>
      <c r="B14" s="35"/>
      <c r="C14" s="36"/>
      <c r="D14" s="36"/>
      <c r="E14" s="36"/>
      <c r="F14" s="36"/>
      <c r="G14" s="36"/>
    </row>
    <row r="15" spans="1:10" x14ac:dyDescent="0.25">
      <c r="A15" s="37" t="s">
        <v>24</v>
      </c>
      <c r="B15" s="38"/>
      <c r="C15" s="38"/>
      <c r="D15" s="38"/>
      <c r="E15" s="38"/>
      <c r="F15" s="40"/>
      <c r="G15" s="36"/>
    </row>
    <row r="16" spans="1:10" x14ac:dyDescent="0.25">
      <c r="A16" s="38" t="s">
        <v>25</v>
      </c>
      <c r="B16" s="37" t="s">
        <v>89</v>
      </c>
      <c r="C16" s="38"/>
      <c r="D16" s="38"/>
      <c r="E16" s="38"/>
      <c r="F16" s="40"/>
      <c r="G16" s="36"/>
    </row>
    <row r="17" spans="1:7" x14ac:dyDescent="0.25">
      <c r="A17" s="43" t="s">
        <v>28</v>
      </c>
      <c r="B17" s="37" t="s">
        <v>29</v>
      </c>
      <c r="C17" s="38"/>
      <c r="D17" s="55"/>
      <c r="E17" s="38"/>
      <c r="F17" s="34"/>
      <c r="G17" s="34"/>
    </row>
    <row r="18" spans="1:7" x14ac:dyDescent="0.25">
      <c r="A18" s="38" t="s">
        <v>30</v>
      </c>
      <c r="B18" s="113" t="s">
        <v>90</v>
      </c>
      <c r="C18" s="114"/>
      <c r="D18" s="114"/>
      <c r="E18" s="114"/>
      <c r="F18" s="34"/>
      <c r="G18" s="34"/>
    </row>
    <row r="19" spans="1:7" x14ac:dyDescent="0.25">
      <c r="A19" s="44"/>
      <c r="B19" s="45"/>
      <c r="C19" s="46"/>
      <c r="D19" s="91"/>
      <c r="E19" s="48"/>
      <c r="F19" s="40"/>
      <c r="G19" s="36"/>
    </row>
    <row r="20" spans="1:7" x14ac:dyDescent="0.25">
      <c r="A20" s="92"/>
      <c r="B20" s="93"/>
      <c r="C20" s="93"/>
      <c r="D20" s="93"/>
      <c r="E20" s="36"/>
      <c r="F20" s="40"/>
      <c r="G20" s="36"/>
    </row>
    <row r="21" spans="1:7" x14ac:dyDescent="0.25">
      <c r="A21" s="94"/>
      <c r="B21" s="52"/>
      <c r="C21" s="42"/>
      <c r="D21" s="42"/>
      <c r="E21" s="42"/>
      <c r="F21" s="40"/>
      <c r="G21" s="36"/>
    </row>
  </sheetData>
  <mergeCells count="2">
    <mergeCell ref="H6:I6"/>
    <mergeCell ref="B18:E18"/>
  </mergeCells>
  <pageMargins left="0.7" right="0.7" top="0.78740157499999996" bottom="0.78740157499999996" header="0.3" footer="0.3"/>
  <pageSetup paperSize="9" scale="68" orientation="portrait" verticalDpi="0" r:id="rId1"/>
  <colBreaks count="1" manualBreakCount="1">
    <brk id="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I27"/>
  <sheetViews>
    <sheetView zoomScaleNormal="100" workbookViewId="0">
      <selection activeCell="P12" sqref="P12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10" t="s">
        <v>91</v>
      </c>
      <c r="B9" s="11" t="s">
        <v>14</v>
      </c>
      <c r="C9" s="12">
        <v>50350</v>
      </c>
      <c r="D9" s="108" t="s">
        <v>92</v>
      </c>
      <c r="E9" s="109"/>
      <c r="F9" s="13">
        <f>94.02*30</f>
        <v>2820.6</v>
      </c>
      <c r="G9" s="14" t="s">
        <v>16</v>
      </c>
      <c r="H9" s="8" t="s">
        <v>17</v>
      </c>
    </row>
    <row r="10" spans="1:9" ht="27" thickBot="1" x14ac:dyDescent="0.3">
      <c r="A10" s="56" t="s">
        <v>93</v>
      </c>
      <c r="B10" s="11" t="s">
        <v>14</v>
      </c>
      <c r="C10" s="12">
        <v>50350</v>
      </c>
      <c r="D10" s="108" t="s">
        <v>94</v>
      </c>
      <c r="E10" s="109"/>
      <c r="F10" s="13">
        <f>94.02*30</f>
        <v>2820.6</v>
      </c>
      <c r="G10" s="14" t="s">
        <v>16</v>
      </c>
      <c r="H10" s="8" t="s">
        <v>17</v>
      </c>
    </row>
    <row r="11" spans="1:9" ht="18" customHeight="1" thickBot="1" x14ac:dyDescent="0.3">
      <c r="A11" s="17"/>
      <c r="B11" s="18" t="s">
        <v>7</v>
      </c>
      <c r="C11" s="19"/>
      <c r="D11" s="111"/>
      <c r="E11" s="112"/>
      <c r="F11" s="21">
        <f>SUM(F9:F10)</f>
        <v>5641.2</v>
      </c>
      <c r="G11" s="22"/>
      <c r="H11" s="23"/>
    </row>
    <row r="12" spans="1:9" x14ac:dyDescent="0.25">
      <c r="A12" s="24" t="s">
        <v>20</v>
      </c>
      <c r="B12" s="25" t="s">
        <v>7</v>
      </c>
      <c r="C12" s="26" t="s">
        <v>21</v>
      </c>
      <c r="D12" s="26" t="s">
        <v>22</v>
      </c>
      <c r="E12" s="26"/>
      <c r="F12" s="26" t="s">
        <v>23</v>
      </c>
      <c r="G12" s="26"/>
      <c r="H12" s="27"/>
    </row>
    <row r="13" spans="1:9" x14ac:dyDescent="0.25">
      <c r="A13" s="28"/>
      <c r="B13" s="29"/>
      <c r="C13" s="2"/>
      <c r="D13" s="2"/>
      <c r="E13" s="2"/>
      <c r="F13" s="2"/>
      <c r="G13" s="2"/>
      <c r="H13" s="30"/>
    </row>
    <row r="14" spans="1:9" ht="15.75" thickBot="1" x14ac:dyDescent="0.3">
      <c r="A14" s="31"/>
      <c r="B14" s="32"/>
      <c r="C14" s="32"/>
      <c r="D14" s="32"/>
      <c r="E14" s="32"/>
      <c r="F14" s="32"/>
      <c r="G14" s="32"/>
      <c r="H14" s="33"/>
    </row>
    <row r="15" spans="1:9" x14ac:dyDescent="0.25">
      <c r="A15" s="34"/>
      <c r="B15" s="35"/>
      <c r="C15" s="36"/>
      <c r="D15" s="36"/>
      <c r="E15" s="36"/>
      <c r="F15" s="36"/>
      <c r="G15" s="36"/>
      <c r="H15" s="36"/>
    </row>
    <row r="16" spans="1:9" x14ac:dyDescent="0.25">
      <c r="A16" s="37" t="s">
        <v>24</v>
      </c>
      <c r="B16" s="37" t="s">
        <v>95</v>
      </c>
      <c r="C16" s="38"/>
      <c r="D16" s="38"/>
      <c r="E16" s="38"/>
      <c r="F16" s="38"/>
      <c r="G16" s="38"/>
      <c r="H16" s="36"/>
    </row>
    <row r="17" spans="1:8" x14ac:dyDescent="0.25">
      <c r="A17" s="38" t="s">
        <v>25</v>
      </c>
      <c r="B17" s="37"/>
      <c r="C17" s="38"/>
      <c r="D17" s="38"/>
      <c r="E17" s="38"/>
      <c r="F17" s="38"/>
      <c r="G17" s="38"/>
      <c r="H17" s="36"/>
    </row>
    <row r="18" spans="1:8" x14ac:dyDescent="0.25">
      <c r="A18" s="38" t="s">
        <v>27</v>
      </c>
      <c r="B18" s="37"/>
      <c r="C18" s="38"/>
      <c r="D18" s="38"/>
      <c r="E18" s="38"/>
      <c r="F18" s="38"/>
      <c r="G18" s="38"/>
      <c r="H18" s="42"/>
    </row>
    <row r="19" spans="1:8" x14ac:dyDescent="0.25">
      <c r="A19" s="43" t="s">
        <v>28</v>
      </c>
      <c r="B19" s="37" t="s">
        <v>54</v>
      </c>
      <c r="C19" s="38"/>
      <c r="D19" s="38"/>
      <c r="E19" s="38"/>
      <c r="F19" s="38"/>
      <c r="G19" s="38"/>
      <c r="H19" s="34"/>
    </row>
    <row r="20" spans="1:8" x14ac:dyDescent="0.25">
      <c r="A20" s="38" t="s">
        <v>30</v>
      </c>
      <c r="B20" s="113" t="s">
        <v>96</v>
      </c>
      <c r="C20" s="114"/>
      <c r="D20" s="114"/>
      <c r="E20" s="114"/>
      <c r="F20" s="114"/>
      <c r="G20" s="114"/>
      <c r="H20" s="34"/>
    </row>
    <row r="21" spans="1:8" x14ac:dyDescent="0.25">
      <c r="A21" s="44"/>
      <c r="B21" s="113"/>
      <c r="C21" s="114"/>
      <c r="D21" s="114"/>
      <c r="E21" s="114"/>
      <c r="F21" s="114"/>
      <c r="G21" s="114"/>
      <c r="H21" s="36"/>
    </row>
    <row r="22" spans="1:8" x14ac:dyDescent="0.25">
      <c r="A22" s="95"/>
      <c r="B22" s="50"/>
      <c r="C22" s="96"/>
      <c r="D22" s="40"/>
      <c r="E22" s="36"/>
      <c r="F22" s="68"/>
      <c r="G22" s="40"/>
      <c r="H22" s="36"/>
    </row>
    <row r="23" spans="1:8" x14ac:dyDescent="0.25">
      <c r="A23" s="16"/>
      <c r="B23" s="16"/>
      <c r="C23" s="16"/>
      <c r="D23" s="16"/>
      <c r="E23" s="42"/>
      <c r="F23" s="42"/>
      <c r="G23" s="40"/>
      <c r="H23" s="36"/>
    </row>
    <row r="24" spans="1:8" x14ac:dyDescent="0.25">
      <c r="A24" s="97"/>
      <c r="B24" s="52"/>
      <c r="C24" s="42"/>
      <c r="D24" s="42"/>
      <c r="E24" s="42"/>
      <c r="F24" s="42"/>
      <c r="G24" s="42"/>
      <c r="H24" s="42"/>
    </row>
    <row r="25" spans="1:8" x14ac:dyDescent="0.25">
      <c r="A25" s="42"/>
      <c r="B25" s="52"/>
      <c r="C25" s="42"/>
      <c r="D25" s="42"/>
      <c r="E25" s="42"/>
      <c r="F25" s="42"/>
      <c r="G25" s="34"/>
      <c r="H25" s="34"/>
    </row>
    <row r="26" spans="1:8" x14ac:dyDescent="0.25">
      <c r="A26" s="34"/>
      <c r="B26" s="52"/>
      <c r="C26" s="42"/>
      <c r="D26" s="42"/>
      <c r="E26" s="42"/>
      <c r="F26" s="42"/>
      <c r="G26" s="34"/>
      <c r="H26" s="34"/>
    </row>
    <row r="27" spans="1:8" x14ac:dyDescent="0.25">
      <c r="A27" s="42"/>
      <c r="B27" s="102"/>
      <c r="C27" s="103"/>
      <c r="D27" s="103"/>
      <c r="E27" s="103"/>
      <c r="F27" s="42"/>
      <c r="G27" s="42"/>
      <c r="H27" s="42"/>
    </row>
  </sheetData>
  <mergeCells count="8">
    <mergeCell ref="B21:G21"/>
    <mergeCell ref="B27:E27"/>
    <mergeCell ref="F6:G6"/>
    <mergeCell ref="D8:E8"/>
    <mergeCell ref="D9:E9"/>
    <mergeCell ref="D10:E10"/>
    <mergeCell ref="D11:E11"/>
    <mergeCell ref="B20:G20"/>
  </mergeCells>
  <pageMargins left="0.7" right="0.7" top="0.78740157499999996" bottom="0.78740157499999996" header="0.3" footer="0.3"/>
  <pageSetup paperSize="9" scale="68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I26"/>
  <sheetViews>
    <sheetView zoomScaleNormal="100" workbookViewId="0">
      <selection activeCell="B26" sqref="B26:E26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59" t="s">
        <v>97</v>
      </c>
      <c r="B9" s="11" t="s">
        <v>14</v>
      </c>
      <c r="C9" s="12">
        <v>50350</v>
      </c>
      <c r="D9" s="108" t="s">
        <v>98</v>
      </c>
      <c r="E9" s="109"/>
      <c r="F9" s="13">
        <f>94.02*30</f>
        <v>2820.6</v>
      </c>
      <c r="G9" s="14" t="s">
        <v>16</v>
      </c>
      <c r="H9" s="8" t="s">
        <v>17</v>
      </c>
    </row>
    <row r="10" spans="1:9" ht="18" customHeight="1" thickBot="1" x14ac:dyDescent="0.3">
      <c r="A10" s="17"/>
      <c r="B10" s="18" t="s">
        <v>7</v>
      </c>
      <c r="C10" s="19"/>
      <c r="D10" s="111"/>
      <c r="E10" s="112"/>
      <c r="F10" s="21">
        <f>SUM(F9:F9)</f>
        <v>2820.6</v>
      </c>
      <c r="G10" s="22"/>
      <c r="H10" s="23"/>
    </row>
    <row r="11" spans="1:9" x14ac:dyDescent="0.25">
      <c r="A11" s="24" t="s">
        <v>20</v>
      </c>
      <c r="B11" s="25" t="s">
        <v>7</v>
      </c>
      <c r="C11" s="26" t="s">
        <v>21</v>
      </c>
      <c r="D11" s="26" t="s">
        <v>22</v>
      </c>
      <c r="E11" s="26"/>
      <c r="F11" s="26" t="s">
        <v>23</v>
      </c>
      <c r="G11" s="26"/>
      <c r="H11" s="27"/>
    </row>
    <row r="12" spans="1:9" x14ac:dyDescent="0.25">
      <c r="A12" s="28"/>
      <c r="B12" s="29"/>
      <c r="C12" s="2"/>
      <c r="D12" s="2"/>
      <c r="E12" s="2"/>
      <c r="F12" s="2"/>
      <c r="G12" s="2"/>
      <c r="H12" s="30"/>
    </row>
    <row r="13" spans="1:9" ht="15.75" thickBot="1" x14ac:dyDescent="0.3">
      <c r="A13" s="31"/>
      <c r="B13" s="32"/>
      <c r="C13" s="32"/>
      <c r="D13" s="32"/>
      <c r="E13" s="32"/>
      <c r="F13" s="32"/>
      <c r="G13" s="32"/>
      <c r="H13" s="33"/>
    </row>
    <row r="14" spans="1:9" x14ac:dyDescent="0.25">
      <c r="A14" s="34"/>
      <c r="B14" s="35"/>
      <c r="C14" s="36"/>
      <c r="D14" s="36"/>
      <c r="E14" s="36"/>
      <c r="F14" s="36"/>
      <c r="G14" s="36"/>
      <c r="H14" s="36"/>
    </row>
    <row r="15" spans="1:9" x14ac:dyDescent="0.25">
      <c r="A15" s="37" t="s">
        <v>24</v>
      </c>
      <c r="B15" s="38"/>
      <c r="C15" s="38"/>
      <c r="D15" s="38"/>
      <c r="E15" s="38"/>
      <c r="F15" s="39"/>
      <c r="G15" s="40"/>
      <c r="H15" s="36"/>
    </row>
    <row r="16" spans="1:9" x14ac:dyDescent="0.25">
      <c r="A16" s="38" t="s">
        <v>25</v>
      </c>
      <c r="B16" s="37" t="s">
        <v>99</v>
      </c>
      <c r="C16" s="38"/>
      <c r="D16" s="38"/>
      <c r="E16" s="38"/>
      <c r="F16" s="38"/>
      <c r="G16" s="38"/>
      <c r="H16" s="36"/>
    </row>
    <row r="17" spans="1:8" x14ac:dyDescent="0.25">
      <c r="A17" s="38" t="s">
        <v>27</v>
      </c>
      <c r="B17" s="37"/>
      <c r="C17" s="38"/>
      <c r="D17" s="38"/>
      <c r="E17" s="38"/>
      <c r="F17" s="38"/>
      <c r="G17" s="38"/>
      <c r="H17" s="42"/>
    </row>
    <row r="18" spans="1:8" x14ac:dyDescent="0.25">
      <c r="A18" s="43" t="s">
        <v>28</v>
      </c>
      <c r="B18" s="37" t="s">
        <v>54</v>
      </c>
      <c r="C18" s="38"/>
      <c r="D18" s="55"/>
      <c r="E18" s="38"/>
      <c r="F18" s="38"/>
      <c r="G18" s="38"/>
      <c r="H18" s="34"/>
    </row>
    <row r="19" spans="1:8" x14ac:dyDescent="0.25">
      <c r="A19" s="38" t="s">
        <v>30</v>
      </c>
      <c r="B19" s="113" t="s">
        <v>116</v>
      </c>
      <c r="C19" s="114"/>
      <c r="D19" s="114"/>
      <c r="E19" s="114"/>
      <c r="F19" s="114"/>
      <c r="G19" s="114"/>
      <c r="H19" s="34"/>
    </row>
    <row r="20" spans="1:8" x14ac:dyDescent="0.25">
      <c r="A20" s="44"/>
      <c r="B20" s="45"/>
      <c r="C20" s="46"/>
      <c r="D20" s="47"/>
      <c r="E20" s="48"/>
      <c r="F20" s="39"/>
      <c r="G20" s="40"/>
      <c r="H20" s="36"/>
    </row>
    <row r="21" spans="1:8" x14ac:dyDescent="0.25">
      <c r="A21" s="49"/>
      <c r="B21" s="50"/>
      <c r="C21" s="51"/>
      <c r="D21" s="40"/>
      <c r="E21" s="36"/>
      <c r="F21" s="39"/>
      <c r="G21" s="40"/>
      <c r="H21" s="36"/>
    </row>
    <row r="22" spans="1:8" x14ac:dyDescent="0.25">
      <c r="A22" s="52"/>
      <c r="B22" s="42"/>
      <c r="C22" s="42"/>
      <c r="D22" s="42"/>
      <c r="E22" s="42"/>
      <c r="F22" s="42"/>
      <c r="G22" s="40"/>
      <c r="H22" s="36"/>
    </row>
    <row r="23" spans="1:8" x14ac:dyDescent="0.25">
      <c r="A23" s="42"/>
      <c r="B23" s="52"/>
      <c r="C23" s="42"/>
      <c r="D23" s="42"/>
      <c r="E23" s="42"/>
      <c r="F23" s="42"/>
      <c r="G23" s="42"/>
      <c r="H23" s="42"/>
    </row>
    <row r="24" spans="1:8" x14ac:dyDescent="0.25">
      <c r="A24" s="42"/>
      <c r="B24" s="52"/>
      <c r="C24" s="42"/>
      <c r="D24" s="42"/>
      <c r="E24" s="42"/>
      <c r="F24" s="42"/>
      <c r="G24" s="34"/>
      <c r="H24" s="34"/>
    </row>
    <row r="25" spans="1:8" x14ac:dyDescent="0.25">
      <c r="A25" s="34"/>
      <c r="B25" s="52"/>
      <c r="C25" s="42"/>
      <c r="D25" s="42"/>
      <c r="E25" s="42"/>
      <c r="F25" s="42"/>
      <c r="G25" s="34"/>
      <c r="H25" s="34"/>
    </row>
    <row r="26" spans="1:8" x14ac:dyDescent="0.25">
      <c r="A26" s="42"/>
      <c r="B26" s="102"/>
      <c r="C26" s="103"/>
      <c r="D26" s="103"/>
      <c r="E26" s="103"/>
      <c r="F26" s="42"/>
      <c r="G26" s="42"/>
      <c r="H26" s="42"/>
    </row>
  </sheetData>
  <mergeCells count="6">
    <mergeCell ref="B26:E26"/>
    <mergeCell ref="F6:G6"/>
    <mergeCell ref="D8:E8"/>
    <mergeCell ref="D9:E9"/>
    <mergeCell ref="D10:E10"/>
    <mergeCell ref="B19:G19"/>
  </mergeCells>
  <hyperlinks>
    <hyperlink ref="B16" r:id="rId1" display="tel:05100110012996707054" xr:uid="{00000000-0004-0000-0D00-000000000000}"/>
  </hyperlinks>
  <pageMargins left="0.7" right="0.7" top="0.78740157499999996" bottom="0.78740157499999996" header="0.3" footer="0.3"/>
  <pageSetup paperSize="9" scale="68" orientation="portrait" verticalDpi="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>
    <pageSetUpPr fitToPage="1"/>
  </sheetPr>
  <dimension ref="A1:I27"/>
  <sheetViews>
    <sheetView zoomScaleNormal="100" workbookViewId="0">
      <selection activeCell="O36" sqref="O36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45986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27" thickBot="1" x14ac:dyDescent="0.3">
      <c r="A9" s="10" t="s">
        <v>100</v>
      </c>
      <c r="B9" s="11" t="s">
        <v>14</v>
      </c>
      <c r="C9" s="12">
        <v>50350</v>
      </c>
      <c r="D9" s="110" t="s">
        <v>101</v>
      </c>
      <c r="E9" s="109"/>
      <c r="F9" s="101">
        <f>94.02*30</f>
        <v>2820.6</v>
      </c>
      <c r="G9" s="14" t="s">
        <v>16</v>
      </c>
      <c r="H9" s="8" t="s">
        <v>17</v>
      </c>
    </row>
    <row r="10" spans="1:9" ht="27" thickBot="1" x14ac:dyDescent="0.3">
      <c r="A10" s="10" t="s">
        <v>102</v>
      </c>
      <c r="B10" s="11" t="s">
        <v>14</v>
      </c>
      <c r="C10" s="12">
        <v>50350</v>
      </c>
      <c r="D10" s="110" t="s">
        <v>103</v>
      </c>
      <c r="E10" s="109"/>
      <c r="F10" s="101">
        <f>94.02*20</f>
        <v>1880.3999999999999</v>
      </c>
      <c r="G10" s="14" t="s">
        <v>16</v>
      </c>
      <c r="H10" s="8" t="s">
        <v>17</v>
      </c>
    </row>
    <row r="11" spans="1:9" ht="19.5" customHeight="1" thickBot="1" x14ac:dyDescent="0.3">
      <c r="A11" s="17"/>
      <c r="B11" s="18" t="s">
        <v>7</v>
      </c>
      <c r="C11" s="19"/>
      <c r="D11" s="118"/>
      <c r="E11" s="119"/>
      <c r="F11" s="62">
        <f>SUM(F9:F10)</f>
        <v>4701</v>
      </c>
      <c r="G11" s="22"/>
      <c r="H11" s="23"/>
    </row>
    <row r="12" spans="1:9" x14ac:dyDescent="0.25">
      <c r="A12" s="24" t="s">
        <v>20</v>
      </c>
      <c r="B12" s="25" t="s">
        <v>7</v>
      </c>
      <c r="C12" s="26" t="s">
        <v>21</v>
      </c>
      <c r="D12" s="26" t="s">
        <v>22</v>
      </c>
      <c r="E12" s="26"/>
      <c r="F12" s="26" t="s">
        <v>23</v>
      </c>
      <c r="G12" s="26"/>
      <c r="H12" s="27"/>
    </row>
    <row r="13" spans="1:9" x14ac:dyDescent="0.25">
      <c r="A13" s="28"/>
      <c r="B13" s="29"/>
      <c r="C13" s="2"/>
      <c r="D13" s="2"/>
      <c r="E13" s="2"/>
      <c r="F13" s="2"/>
      <c r="G13" s="2"/>
      <c r="H13" s="30"/>
    </row>
    <row r="14" spans="1:9" ht="15.75" thickBot="1" x14ac:dyDescent="0.3">
      <c r="A14" s="31"/>
      <c r="B14" s="32"/>
      <c r="C14" s="32"/>
      <c r="D14" s="32"/>
      <c r="E14" s="32"/>
      <c r="F14" s="32"/>
      <c r="G14" s="32"/>
      <c r="H14" s="33"/>
    </row>
    <row r="15" spans="1:9" x14ac:dyDescent="0.25">
      <c r="A15" s="34"/>
      <c r="B15" s="35"/>
      <c r="C15" s="36"/>
      <c r="D15" s="36"/>
      <c r="E15" s="36"/>
      <c r="F15" s="36"/>
      <c r="G15" s="36"/>
      <c r="H15" s="36"/>
    </row>
    <row r="16" spans="1:9" x14ac:dyDescent="0.25">
      <c r="A16" s="37" t="s">
        <v>24</v>
      </c>
      <c r="B16" s="38"/>
      <c r="C16" s="38"/>
      <c r="D16" s="38"/>
      <c r="E16" s="38"/>
      <c r="F16" s="39"/>
      <c r="G16" s="40"/>
      <c r="H16" s="36"/>
    </row>
    <row r="17" spans="1:8" x14ac:dyDescent="0.25">
      <c r="A17" s="38" t="s">
        <v>25</v>
      </c>
      <c r="B17" s="37" t="s">
        <v>104</v>
      </c>
      <c r="C17" s="38"/>
      <c r="D17" s="38"/>
      <c r="E17" s="38"/>
      <c r="F17" s="38"/>
      <c r="G17" s="38"/>
      <c r="H17" s="36"/>
    </row>
    <row r="18" spans="1:8" x14ac:dyDescent="0.25">
      <c r="A18" s="38" t="s">
        <v>27</v>
      </c>
      <c r="B18" s="37" t="s">
        <v>29</v>
      </c>
      <c r="C18" s="38"/>
      <c r="D18" s="55"/>
      <c r="E18" s="38"/>
      <c r="F18" s="38"/>
      <c r="G18" s="38"/>
      <c r="H18" s="42"/>
    </row>
    <row r="19" spans="1:8" x14ac:dyDescent="0.25">
      <c r="A19" s="43" t="s">
        <v>28</v>
      </c>
      <c r="B19" s="113"/>
      <c r="C19" s="114"/>
      <c r="D19" s="114"/>
      <c r="E19" s="114"/>
      <c r="F19" s="114"/>
      <c r="G19" s="114"/>
      <c r="H19" s="34"/>
    </row>
    <row r="20" spans="1:8" x14ac:dyDescent="0.25">
      <c r="A20" s="38" t="s">
        <v>30</v>
      </c>
      <c r="B20" s="113" t="s">
        <v>105</v>
      </c>
      <c r="C20" s="114"/>
      <c r="D20" s="114"/>
      <c r="E20" s="114"/>
      <c r="F20" s="34"/>
      <c r="G20" s="34"/>
      <c r="H20" s="34"/>
    </row>
    <row r="21" spans="1:8" x14ac:dyDescent="0.25">
      <c r="A21" s="98"/>
      <c r="B21" s="45"/>
      <c r="C21" s="99"/>
      <c r="D21" s="47"/>
      <c r="E21" s="48"/>
      <c r="F21" s="68"/>
      <c r="G21" s="40"/>
      <c r="H21" s="36"/>
    </row>
    <row r="22" spans="1:8" x14ac:dyDescent="0.25">
      <c r="A22" s="100" t="s">
        <v>118</v>
      </c>
      <c r="B22" s="50"/>
      <c r="C22" s="96"/>
      <c r="D22" s="40"/>
      <c r="E22" s="36"/>
      <c r="F22" s="68"/>
      <c r="G22" s="40"/>
      <c r="H22" s="36"/>
    </row>
    <row r="23" spans="1:8" x14ac:dyDescent="0.25">
      <c r="A23" s="52"/>
      <c r="B23" s="42"/>
      <c r="C23" s="42"/>
      <c r="D23" s="42"/>
      <c r="E23" s="42"/>
      <c r="F23" s="42"/>
      <c r="G23" s="40"/>
      <c r="H23" s="36"/>
    </row>
    <row r="24" spans="1:8" x14ac:dyDescent="0.25">
      <c r="A24" s="42"/>
      <c r="B24" s="52"/>
      <c r="C24" s="42"/>
      <c r="D24" s="42"/>
      <c r="E24" s="42"/>
      <c r="F24" s="42"/>
      <c r="G24" s="42"/>
      <c r="H24" s="42"/>
    </row>
    <row r="25" spans="1:8" x14ac:dyDescent="0.25">
      <c r="A25" s="42"/>
      <c r="B25" s="52"/>
      <c r="C25" s="42"/>
      <c r="D25" s="42"/>
      <c r="E25" s="42"/>
      <c r="F25" s="42"/>
      <c r="G25" s="34"/>
      <c r="H25" s="34"/>
    </row>
    <row r="26" spans="1:8" x14ac:dyDescent="0.25">
      <c r="A26" s="34"/>
      <c r="B26" s="52"/>
      <c r="C26" s="42"/>
      <c r="D26" s="42"/>
      <c r="E26" s="42"/>
      <c r="F26" s="42"/>
      <c r="G26" s="34"/>
      <c r="H26" s="34"/>
    </row>
    <row r="27" spans="1:8" x14ac:dyDescent="0.25">
      <c r="A27" s="42"/>
      <c r="B27" s="102"/>
      <c r="C27" s="103"/>
      <c r="D27" s="103"/>
      <c r="E27" s="103"/>
      <c r="F27" s="42"/>
      <c r="G27" s="42"/>
      <c r="H27" s="42"/>
    </row>
  </sheetData>
  <mergeCells count="8">
    <mergeCell ref="B20:E20"/>
    <mergeCell ref="B27:E27"/>
    <mergeCell ref="F6:G6"/>
    <mergeCell ref="D8:E8"/>
    <mergeCell ref="D9:E9"/>
    <mergeCell ref="D10:E10"/>
    <mergeCell ref="D11:E11"/>
    <mergeCell ref="B19:G19"/>
  </mergeCells>
  <pageMargins left="0.7" right="0.7" top="0.78740157499999996" bottom="0.78740157499999996" header="0.3" footer="0.3"/>
  <pageSetup paperSize="9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6"/>
  <sheetViews>
    <sheetView zoomScaleNormal="100" workbookViewId="0">
      <selection activeCell="O13" sqref="O13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4"/>
      <c r="H5" s="2"/>
      <c r="I5" s="2"/>
    </row>
    <row r="6" spans="1:9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9" ht="15.75" thickBot="1" x14ac:dyDescent="0.3">
      <c r="A7" s="2"/>
      <c r="B7" s="2"/>
      <c r="C7" s="2"/>
      <c r="D7" s="2"/>
      <c r="E7" s="2"/>
      <c r="F7" s="2"/>
      <c r="G7" s="2"/>
      <c r="H7" s="2"/>
    </row>
    <row r="8" spans="1:9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9" s="16" customFormat="1" ht="39.75" thickBot="1" x14ac:dyDescent="0.3">
      <c r="A9" s="10" t="s">
        <v>106</v>
      </c>
      <c r="B9" s="11" t="s">
        <v>14</v>
      </c>
      <c r="C9" s="12">
        <v>50350</v>
      </c>
      <c r="D9" s="110" t="s">
        <v>109</v>
      </c>
      <c r="E9" s="109"/>
      <c r="F9" s="13">
        <f>94.02*30</f>
        <v>2820.6</v>
      </c>
      <c r="G9" s="14" t="s">
        <v>16</v>
      </c>
      <c r="H9" s="8" t="s">
        <v>61</v>
      </c>
    </row>
    <row r="10" spans="1:9" ht="15.75" thickBot="1" x14ac:dyDescent="0.3">
      <c r="A10" s="17"/>
      <c r="B10" s="18" t="s">
        <v>7</v>
      </c>
      <c r="C10" s="19"/>
      <c r="D10" s="111"/>
      <c r="E10" s="112"/>
      <c r="F10" s="21">
        <f>SUM(F9:F9)</f>
        <v>2820.6</v>
      </c>
      <c r="G10" s="22"/>
      <c r="H10" s="23"/>
    </row>
    <row r="11" spans="1:9" x14ac:dyDescent="0.25">
      <c r="A11" s="24" t="s">
        <v>20</v>
      </c>
      <c r="B11" s="25" t="s">
        <v>7</v>
      </c>
      <c r="C11" s="26" t="s">
        <v>21</v>
      </c>
      <c r="D11" s="26" t="s">
        <v>22</v>
      </c>
      <c r="E11" s="26"/>
      <c r="F11" s="26" t="s">
        <v>23</v>
      </c>
      <c r="G11" s="26"/>
      <c r="H11" s="27"/>
    </row>
    <row r="12" spans="1:9" x14ac:dyDescent="0.25">
      <c r="A12" s="28"/>
      <c r="B12" s="29"/>
      <c r="C12" s="2"/>
      <c r="D12" s="2"/>
      <c r="E12" s="2"/>
      <c r="F12" s="2"/>
      <c r="G12" s="2"/>
      <c r="H12" s="30"/>
    </row>
    <row r="13" spans="1:9" ht="15.75" thickBot="1" x14ac:dyDescent="0.3">
      <c r="A13" s="31"/>
      <c r="B13" s="32"/>
      <c r="C13" s="32"/>
      <c r="D13" s="32"/>
      <c r="E13" s="32"/>
      <c r="F13" s="32"/>
      <c r="G13" s="32"/>
      <c r="H13" s="33"/>
    </row>
    <row r="14" spans="1:9" x14ac:dyDescent="0.25">
      <c r="A14" s="34"/>
      <c r="B14" s="35"/>
      <c r="C14" s="36"/>
      <c r="D14" s="36"/>
      <c r="E14" s="36"/>
      <c r="F14" s="36"/>
      <c r="G14" s="36"/>
      <c r="H14" s="36"/>
    </row>
    <row r="15" spans="1:9" x14ac:dyDescent="0.25">
      <c r="A15" s="37" t="s">
        <v>24</v>
      </c>
      <c r="B15" s="38"/>
      <c r="C15" s="38"/>
      <c r="D15" s="38"/>
      <c r="E15" s="38"/>
      <c r="F15" s="39"/>
      <c r="G15" s="40"/>
      <c r="H15" s="36"/>
    </row>
    <row r="16" spans="1:9" x14ac:dyDescent="0.25">
      <c r="A16" s="38" t="s">
        <v>25</v>
      </c>
      <c r="B16" s="37" t="s">
        <v>107</v>
      </c>
      <c r="C16" s="38"/>
      <c r="D16" s="38"/>
      <c r="E16" s="38"/>
      <c r="F16" s="38"/>
      <c r="G16" s="38"/>
      <c r="H16" s="36"/>
    </row>
    <row r="17" spans="1:8" x14ac:dyDescent="0.25">
      <c r="A17" s="38" t="s">
        <v>27</v>
      </c>
      <c r="B17" s="37"/>
      <c r="C17" s="38"/>
      <c r="D17" s="38"/>
      <c r="E17" s="38"/>
      <c r="F17" s="38"/>
      <c r="G17" s="38"/>
      <c r="H17" s="42"/>
    </row>
    <row r="18" spans="1:8" x14ac:dyDescent="0.25">
      <c r="A18" s="43" t="s">
        <v>28</v>
      </c>
      <c r="B18" s="37" t="s">
        <v>29</v>
      </c>
      <c r="C18" s="38"/>
      <c r="D18" s="55"/>
      <c r="E18" s="38"/>
      <c r="F18" s="38"/>
      <c r="G18" s="38"/>
      <c r="H18" s="34"/>
    </row>
    <row r="19" spans="1:8" x14ac:dyDescent="0.25">
      <c r="A19" s="38" t="s">
        <v>30</v>
      </c>
      <c r="B19" s="113" t="s">
        <v>108</v>
      </c>
      <c r="C19" s="114"/>
      <c r="D19" s="114"/>
      <c r="E19" s="114"/>
      <c r="F19" s="114"/>
      <c r="G19" s="114"/>
      <c r="H19" s="34"/>
    </row>
    <row r="20" spans="1:8" x14ac:dyDescent="0.25">
      <c r="A20" s="44"/>
      <c r="B20" s="45"/>
      <c r="C20" s="46"/>
      <c r="D20" s="47"/>
      <c r="E20" s="48"/>
      <c r="F20" s="39"/>
      <c r="G20" s="40"/>
      <c r="H20" s="36"/>
    </row>
    <row r="21" spans="1:8" x14ac:dyDescent="0.25">
      <c r="A21" s="49"/>
      <c r="B21" s="50"/>
      <c r="C21" s="51"/>
      <c r="D21" s="40"/>
      <c r="E21" s="36"/>
      <c r="F21" s="39"/>
      <c r="G21" s="40"/>
      <c r="H21" s="36"/>
    </row>
    <row r="22" spans="1:8" x14ac:dyDescent="0.25">
      <c r="A22" s="52"/>
      <c r="B22" s="42"/>
      <c r="C22" s="42"/>
      <c r="D22" s="42"/>
      <c r="E22" s="42"/>
      <c r="F22" s="42"/>
      <c r="G22" s="40"/>
      <c r="H22" s="36"/>
    </row>
    <row r="23" spans="1:8" x14ac:dyDescent="0.25">
      <c r="A23" s="42"/>
      <c r="B23" s="52"/>
      <c r="C23" s="42"/>
      <c r="D23" s="42"/>
      <c r="E23" s="42"/>
      <c r="F23" s="42"/>
      <c r="G23" s="42"/>
      <c r="H23" s="42"/>
    </row>
    <row r="24" spans="1:8" x14ac:dyDescent="0.25">
      <c r="A24" s="42"/>
      <c r="B24" s="52"/>
      <c r="C24" s="42"/>
      <c r="D24" s="42"/>
      <c r="E24" s="42"/>
      <c r="F24" s="42"/>
      <c r="G24" s="34"/>
      <c r="H24" s="34"/>
    </row>
    <row r="25" spans="1:8" x14ac:dyDescent="0.25">
      <c r="A25" s="34"/>
      <c r="B25" s="52"/>
      <c r="C25" s="42"/>
      <c r="D25" s="42"/>
      <c r="E25" s="42"/>
      <c r="F25" s="42"/>
      <c r="G25" s="34"/>
      <c r="H25" s="34"/>
    </row>
    <row r="26" spans="1:8" x14ac:dyDescent="0.25">
      <c r="A26" s="42"/>
      <c r="B26" s="102"/>
      <c r="C26" s="103"/>
      <c r="D26" s="103"/>
      <c r="E26" s="103"/>
      <c r="F26" s="42"/>
      <c r="G26" s="42"/>
      <c r="H26" s="42"/>
    </row>
  </sheetData>
  <mergeCells count="6">
    <mergeCell ref="B26:E26"/>
    <mergeCell ref="F6:G6"/>
    <mergeCell ref="D8:E8"/>
    <mergeCell ref="D9:E9"/>
    <mergeCell ref="D10:E10"/>
    <mergeCell ref="B19:G19"/>
  </mergeCells>
  <pageMargins left="0.7" right="0.7" top="0.78740157499999996" bottom="0.78740157499999996" header="0.3" footer="0.3"/>
  <pageSetup paperSize="9" scale="68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7"/>
  <sheetViews>
    <sheetView zoomScaleNormal="100" workbookViewId="0">
      <selection activeCell="K28" sqref="K28"/>
    </sheetView>
  </sheetViews>
  <sheetFormatPr baseColWidth="10" defaultRowHeight="15" x14ac:dyDescent="0.25"/>
  <cols>
    <col min="1" max="1" width="44" customWidth="1"/>
    <col min="2" max="2" width="12.28515625" customWidth="1"/>
    <col min="3" max="3" width="12.85546875" customWidth="1"/>
    <col min="4" max="4" width="8" customWidth="1"/>
    <col min="5" max="5" width="14.140625" customWidth="1"/>
    <col min="6" max="6" width="11.28515625" customWidth="1"/>
    <col min="7" max="7" width="8.5703125" customWidth="1"/>
    <col min="8" max="8" width="16.7109375" customWidth="1"/>
    <col min="9" max="9" width="11.28515625" customWidth="1"/>
    <col min="254" max="254" width="33.28515625" customWidth="1"/>
    <col min="255" max="255" width="8.5703125" customWidth="1"/>
    <col min="256" max="256" width="9.28515625" customWidth="1"/>
    <col min="258" max="258" width="8" customWidth="1"/>
    <col min="259" max="259" width="7.42578125" customWidth="1"/>
    <col min="260" max="260" width="7.85546875" customWidth="1"/>
    <col min="261" max="261" width="9" customWidth="1"/>
    <col min="262" max="262" width="8.5703125" customWidth="1"/>
    <col min="263" max="263" width="9.7109375" customWidth="1"/>
    <col min="264" max="264" width="11.28515625" customWidth="1"/>
    <col min="510" max="510" width="33.28515625" customWidth="1"/>
    <col min="511" max="511" width="8.5703125" customWidth="1"/>
    <col min="512" max="512" width="9.28515625" customWidth="1"/>
    <col min="514" max="514" width="8" customWidth="1"/>
    <col min="515" max="515" width="7.42578125" customWidth="1"/>
    <col min="516" max="516" width="7.85546875" customWidth="1"/>
    <col min="517" max="517" width="9" customWidth="1"/>
    <col min="518" max="518" width="8.5703125" customWidth="1"/>
    <col min="519" max="519" width="9.7109375" customWidth="1"/>
    <col min="520" max="520" width="11.28515625" customWidth="1"/>
    <col min="766" max="766" width="33.28515625" customWidth="1"/>
    <col min="767" max="767" width="8.5703125" customWidth="1"/>
    <col min="768" max="768" width="9.28515625" customWidth="1"/>
    <col min="770" max="770" width="8" customWidth="1"/>
    <col min="771" max="771" width="7.42578125" customWidth="1"/>
    <col min="772" max="772" width="7.85546875" customWidth="1"/>
    <col min="773" max="773" width="9" customWidth="1"/>
    <col min="774" max="774" width="8.5703125" customWidth="1"/>
    <col min="775" max="775" width="9.7109375" customWidth="1"/>
    <col min="776" max="776" width="11.28515625" customWidth="1"/>
    <col min="1022" max="1022" width="33.28515625" customWidth="1"/>
    <col min="1023" max="1023" width="8.5703125" customWidth="1"/>
    <col min="1024" max="1024" width="9.28515625" customWidth="1"/>
    <col min="1026" max="1026" width="8" customWidth="1"/>
    <col min="1027" max="1027" width="7.42578125" customWidth="1"/>
    <col min="1028" max="1028" width="7.85546875" customWidth="1"/>
    <col min="1029" max="1029" width="9" customWidth="1"/>
    <col min="1030" max="1030" width="8.5703125" customWidth="1"/>
    <col min="1031" max="1031" width="9.7109375" customWidth="1"/>
    <col min="1032" max="1032" width="11.28515625" customWidth="1"/>
    <col min="1278" max="1278" width="33.28515625" customWidth="1"/>
    <col min="1279" max="1279" width="8.5703125" customWidth="1"/>
    <col min="1280" max="1280" width="9.28515625" customWidth="1"/>
    <col min="1282" max="1282" width="8" customWidth="1"/>
    <col min="1283" max="1283" width="7.42578125" customWidth="1"/>
    <col min="1284" max="1284" width="7.85546875" customWidth="1"/>
    <col min="1285" max="1285" width="9" customWidth="1"/>
    <col min="1286" max="1286" width="8.5703125" customWidth="1"/>
    <col min="1287" max="1287" width="9.7109375" customWidth="1"/>
    <col min="1288" max="1288" width="11.28515625" customWidth="1"/>
    <col min="1534" max="1534" width="33.28515625" customWidth="1"/>
    <col min="1535" max="1535" width="8.5703125" customWidth="1"/>
    <col min="1536" max="1536" width="9.28515625" customWidth="1"/>
    <col min="1538" max="1538" width="8" customWidth="1"/>
    <col min="1539" max="1539" width="7.42578125" customWidth="1"/>
    <col min="1540" max="1540" width="7.85546875" customWidth="1"/>
    <col min="1541" max="1541" width="9" customWidth="1"/>
    <col min="1542" max="1542" width="8.5703125" customWidth="1"/>
    <col min="1543" max="1543" width="9.7109375" customWidth="1"/>
    <col min="1544" max="1544" width="11.28515625" customWidth="1"/>
    <col min="1790" max="1790" width="33.28515625" customWidth="1"/>
    <col min="1791" max="1791" width="8.5703125" customWidth="1"/>
    <col min="1792" max="1792" width="9.28515625" customWidth="1"/>
    <col min="1794" max="1794" width="8" customWidth="1"/>
    <col min="1795" max="1795" width="7.42578125" customWidth="1"/>
    <col min="1796" max="1796" width="7.85546875" customWidth="1"/>
    <col min="1797" max="1797" width="9" customWidth="1"/>
    <col min="1798" max="1798" width="8.5703125" customWidth="1"/>
    <col min="1799" max="1799" width="9.7109375" customWidth="1"/>
    <col min="1800" max="1800" width="11.28515625" customWidth="1"/>
    <col min="2046" max="2046" width="33.28515625" customWidth="1"/>
    <col min="2047" max="2047" width="8.5703125" customWidth="1"/>
    <col min="2048" max="2048" width="9.28515625" customWidth="1"/>
    <col min="2050" max="2050" width="8" customWidth="1"/>
    <col min="2051" max="2051" width="7.42578125" customWidth="1"/>
    <col min="2052" max="2052" width="7.85546875" customWidth="1"/>
    <col min="2053" max="2053" width="9" customWidth="1"/>
    <col min="2054" max="2054" width="8.5703125" customWidth="1"/>
    <col min="2055" max="2055" width="9.7109375" customWidth="1"/>
    <col min="2056" max="2056" width="11.28515625" customWidth="1"/>
    <col min="2302" max="2302" width="33.28515625" customWidth="1"/>
    <col min="2303" max="2303" width="8.5703125" customWidth="1"/>
    <col min="2304" max="2304" width="9.28515625" customWidth="1"/>
    <col min="2306" max="2306" width="8" customWidth="1"/>
    <col min="2307" max="2307" width="7.42578125" customWidth="1"/>
    <col min="2308" max="2308" width="7.85546875" customWidth="1"/>
    <col min="2309" max="2309" width="9" customWidth="1"/>
    <col min="2310" max="2310" width="8.5703125" customWidth="1"/>
    <col min="2311" max="2311" width="9.7109375" customWidth="1"/>
    <col min="2312" max="2312" width="11.28515625" customWidth="1"/>
    <col min="2558" max="2558" width="33.28515625" customWidth="1"/>
    <col min="2559" max="2559" width="8.5703125" customWidth="1"/>
    <col min="2560" max="2560" width="9.28515625" customWidth="1"/>
    <col min="2562" max="2562" width="8" customWidth="1"/>
    <col min="2563" max="2563" width="7.42578125" customWidth="1"/>
    <col min="2564" max="2564" width="7.85546875" customWidth="1"/>
    <col min="2565" max="2565" width="9" customWidth="1"/>
    <col min="2566" max="2566" width="8.5703125" customWidth="1"/>
    <col min="2567" max="2567" width="9.7109375" customWidth="1"/>
    <col min="2568" max="2568" width="11.28515625" customWidth="1"/>
    <col min="2814" max="2814" width="33.28515625" customWidth="1"/>
    <col min="2815" max="2815" width="8.5703125" customWidth="1"/>
    <col min="2816" max="2816" width="9.28515625" customWidth="1"/>
    <col min="2818" max="2818" width="8" customWidth="1"/>
    <col min="2819" max="2819" width="7.42578125" customWidth="1"/>
    <col min="2820" max="2820" width="7.85546875" customWidth="1"/>
    <col min="2821" max="2821" width="9" customWidth="1"/>
    <col min="2822" max="2822" width="8.5703125" customWidth="1"/>
    <col min="2823" max="2823" width="9.7109375" customWidth="1"/>
    <col min="2824" max="2824" width="11.28515625" customWidth="1"/>
    <col min="3070" max="3070" width="33.28515625" customWidth="1"/>
    <col min="3071" max="3071" width="8.5703125" customWidth="1"/>
    <col min="3072" max="3072" width="9.28515625" customWidth="1"/>
    <col min="3074" max="3074" width="8" customWidth="1"/>
    <col min="3075" max="3075" width="7.42578125" customWidth="1"/>
    <col min="3076" max="3076" width="7.85546875" customWidth="1"/>
    <col min="3077" max="3077" width="9" customWidth="1"/>
    <col min="3078" max="3078" width="8.5703125" customWidth="1"/>
    <col min="3079" max="3079" width="9.7109375" customWidth="1"/>
    <col min="3080" max="3080" width="11.28515625" customWidth="1"/>
    <col min="3326" max="3326" width="33.28515625" customWidth="1"/>
    <col min="3327" max="3327" width="8.5703125" customWidth="1"/>
    <col min="3328" max="3328" width="9.28515625" customWidth="1"/>
    <col min="3330" max="3330" width="8" customWidth="1"/>
    <col min="3331" max="3331" width="7.42578125" customWidth="1"/>
    <col min="3332" max="3332" width="7.85546875" customWidth="1"/>
    <col min="3333" max="3333" width="9" customWidth="1"/>
    <col min="3334" max="3334" width="8.5703125" customWidth="1"/>
    <col min="3335" max="3335" width="9.7109375" customWidth="1"/>
    <col min="3336" max="3336" width="11.28515625" customWidth="1"/>
    <col min="3582" max="3582" width="33.28515625" customWidth="1"/>
    <col min="3583" max="3583" width="8.5703125" customWidth="1"/>
    <col min="3584" max="3584" width="9.28515625" customWidth="1"/>
    <col min="3586" max="3586" width="8" customWidth="1"/>
    <col min="3587" max="3587" width="7.42578125" customWidth="1"/>
    <col min="3588" max="3588" width="7.85546875" customWidth="1"/>
    <col min="3589" max="3589" width="9" customWidth="1"/>
    <col min="3590" max="3590" width="8.5703125" customWidth="1"/>
    <col min="3591" max="3591" width="9.7109375" customWidth="1"/>
    <col min="3592" max="3592" width="11.28515625" customWidth="1"/>
    <col min="3838" max="3838" width="33.28515625" customWidth="1"/>
    <col min="3839" max="3839" width="8.5703125" customWidth="1"/>
    <col min="3840" max="3840" width="9.28515625" customWidth="1"/>
    <col min="3842" max="3842" width="8" customWidth="1"/>
    <col min="3843" max="3843" width="7.42578125" customWidth="1"/>
    <col min="3844" max="3844" width="7.85546875" customWidth="1"/>
    <col min="3845" max="3845" width="9" customWidth="1"/>
    <col min="3846" max="3846" width="8.5703125" customWidth="1"/>
    <col min="3847" max="3847" width="9.7109375" customWidth="1"/>
    <col min="3848" max="3848" width="11.28515625" customWidth="1"/>
    <col min="4094" max="4094" width="33.28515625" customWidth="1"/>
    <col min="4095" max="4095" width="8.5703125" customWidth="1"/>
    <col min="4096" max="4096" width="9.28515625" customWidth="1"/>
    <col min="4098" max="4098" width="8" customWidth="1"/>
    <col min="4099" max="4099" width="7.42578125" customWidth="1"/>
    <col min="4100" max="4100" width="7.85546875" customWidth="1"/>
    <col min="4101" max="4101" width="9" customWidth="1"/>
    <col min="4102" max="4102" width="8.5703125" customWidth="1"/>
    <col min="4103" max="4103" width="9.7109375" customWidth="1"/>
    <col min="4104" max="4104" width="11.28515625" customWidth="1"/>
    <col min="4350" max="4350" width="33.28515625" customWidth="1"/>
    <col min="4351" max="4351" width="8.5703125" customWidth="1"/>
    <col min="4352" max="4352" width="9.28515625" customWidth="1"/>
    <col min="4354" max="4354" width="8" customWidth="1"/>
    <col min="4355" max="4355" width="7.42578125" customWidth="1"/>
    <col min="4356" max="4356" width="7.85546875" customWidth="1"/>
    <col min="4357" max="4357" width="9" customWidth="1"/>
    <col min="4358" max="4358" width="8.5703125" customWidth="1"/>
    <col min="4359" max="4359" width="9.7109375" customWidth="1"/>
    <col min="4360" max="4360" width="11.28515625" customWidth="1"/>
    <col min="4606" max="4606" width="33.28515625" customWidth="1"/>
    <col min="4607" max="4607" width="8.5703125" customWidth="1"/>
    <col min="4608" max="4608" width="9.28515625" customWidth="1"/>
    <col min="4610" max="4610" width="8" customWidth="1"/>
    <col min="4611" max="4611" width="7.42578125" customWidth="1"/>
    <col min="4612" max="4612" width="7.85546875" customWidth="1"/>
    <col min="4613" max="4613" width="9" customWidth="1"/>
    <col min="4614" max="4614" width="8.5703125" customWidth="1"/>
    <col min="4615" max="4615" width="9.7109375" customWidth="1"/>
    <col min="4616" max="4616" width="11.28515625" customWidth="1"/>
    <col min="4862" max="4862" width="33.28515625" customWidth="1"/>
    <col min="4863" max="4863" width="8.5703125" customWidth="1"/>
    <col min="4864" max="4864" width="9.28515625" customWidth="1"/>
    <col min="4866" max="4866" width="8" customWidth="1"/>
    <col min="4867" max="4867" width="7.42578125" customWidth="1"/>
    <col min="4868" max="4868" width="7.85546875" customWidth="1"/>
    <col min="4869" max="4869" width="9" customWidth="1"/>
    <col min="4870" max="4870" width="8.5703125" customWidth="1"/>
    <col min="4871" max="4871" width="9.7109375" customWidth="1"/>
    <col min="4872" max="4872" width="11.28515625" customWidth="1"/>
    <col min="5118" max="5118" width="33.28515625" customWidth="1"/>
    <col min="5119" max="5119" width="8.5703125" customWidth="1"/>
    <col min="5120" max="5120" width="9.28515625" customWidth="1"/>
    <col min="5122" max="5122" width="8" customWidth="1"/>
    <col min="5123" max="5123" width="7.42578125" customWidth="1"/>
    <col min="5124" max="5124" width="7.85546875" customWidth="1"/>
    <col min="5125" max="5125" width="9" customWidth="1"/>
    <col min="5126" max="5126" width="8.5703125" customWidth="1"/>
    <col min="5127" max="5127" width="9.7109375" customWidth="1"/>
    <col min="5128" max="5128" width="11.28515625" customWidth="1"/>
    <col min="5374" max="5374" width="33.28515625" customWidth="1"/>
    <col min="5375" max="5375" width="8.5703125" customWidth="1"/>
    <col min="5376" max="5376" width="9.28515625" customWidth="1"/>
    <col min="5378" max="5378" width="8" customWidth="1"/>
    <col min="5379" max="5379" width="7.42578125" customWidth="1"/>
    <col min="5380" max="5380" width="7.85546875" customWidth="1"/>
    <col min="5381" max="5381" width="9" customWidth="1"/>
    <col min="5382" max="5382" width="8.5703125" customWidth="1"/>
    <col min="5383" max="5383" width="9.7109375" customWidth="1"/>
    <col min="5384" max="5384" width="11.28515625" customWidth="1"/>
    <col min="5630" max="5630" width="33.28515625" customWidth="1"/>
    <col min="5631" max="5631" width="8.5703125" customWidth="1"/>
    <col min="5632" max="5632" width="9.28515625" customWidth="1"/>
    <col min="5634" max="5634" width="8" customWidth="1"/>
    <col min="5635" max="5635" width="7.42578125" customWidth="1"/>
    <col min="5636" max="5636" width="7.85546875" customWidth="1"/>
    <col min="5637" max="5637" width="9" customWidth="1"/>
    <col min="5638" max="5638" width="8.5703125" customWidth="1"/>
    <col min="5639" max="5639" width="9.7109375" customWidth="1"/>
    <col min="5640" max="5640" width="11.28515625" customWidth="1"/>
    <col min="5886" max="5886" width="33.28515625" customWidth="1"/>
    <col min="5887" max="5887" width="8.5703125" customWidth="1"/>
    <col min="5888" max="5888" width="9.28515625" customWidth="1"/>
    <col min="5890" max="5890" width="8" customWidth="1"/>
    <col min="5891" max="5891" width="7.42578125" customWidth="1"/>
    <col min="5892" max="5892" width="7.85546875" customWidth="1"/>
    <col min="5893" max="5893" width="9" customWidth="1"/>
    <col min="5894" max="5894" width="8.5703125" customWidth="1"/>
    <col min="5895" max="5895" width="9.7109375" customWidth="1"/>
    <col min="5896" max="5896" width="11.28515625" customWidth="1"/>
    <col min="6142" max="6142" width="33.28515625" customWidth="1"/>
    <col min="6143" max="6143" width="8.5703125" customWidth="1"/>
    <col min="6144" max="6144" width="9.28515625" customWidth="1"/>
    <col min="6146" max="6146" width="8" customWidth="1"/>
    <col min="6147" max="6147" width="7.42578125" customWidth="1"/>
    <col min="6148" max="6148" width="7.85546875" customWidth="1"/>
    <col min="6149" max="6149" width="9" customWidth="1"/>
    <col min="6150" max="6150" width="8.5703125" customWidth="1"/>
    <col min="6151" max="6151" width="9.7109375" customWidth="1"/>
    <col min="6152" max="6152" width="11.28515625" customWidth="1"/>
    <col min="6398" max="6398" width="33.28515625" customWidth="1"/>
    <col min="6399" max="6399" width="8.5703125" customWidth="1"/>
    <col min="6400" max="6400" width="9.28515625" customWidth="1"/>
    <col min="6402" max="6402" width="8" customWidth="1"/>
    <col min="6403" max="6403" width="7.42578125" customWidth="1"/>
    <col min="6404" max="6404" width="7.85546875" customWidth="1"/>
    <col min="6405" max="6405" width="9" customWidth="1"/>
    <col min="6406" max="6406" width="8.5703125" customWidth="1"/>
    <col min="6407" max="6407" width="9.7109375" customWidth="1"/>
    <col min="6408" max="6408" width="11.28515625" customWidth="1"/>
    <col min="6654" max="6654" width="33.28515625" customWidth="1"/>
    <col min="6655" max="6655" width="8.5703125" customWidth="1"/>
    <col min="6656" max="6656" width="9.28515625" customWidth="1"/>
    <col min="6658" max="6658" width="8" customWidth="1"/>
    <col min="6659" max="6659" width="7.42578125" customWidth="1"/>
    <col min="6660" max="6660" width="7.85546875" customWidth="1"/>
    <col min="6661" max="6661" width="9" customWidth="1"/>
    <col min="6662" max="6662" width="8.5703125" customWidth="1"/>
    <col min="6663" max="6663" width="9.7109375" customWidth="1"/>
    <col min="6664" max="6664" width="11.28515625" customWidth="1"/>
    <col min="6910" max="6910" width="33.28515625" customWidth="1"/>
    <col min="6911" max="6911" width="8.5703125" customWidth="1"/>
    <col min="6912" max="6912" width="9.28515625" customWidth="1"/>
    <col min="6914" max="6914" width="8" customWidth="1"/>
    <col min="6915" max="6915" width="7.42578125" customWidth="1"/>
    <col min="6916" max="6916" width="7.85546875" customWidth="1"/>
    <col min="6917" max="6917" width="9" customWidth="1"/>
    <col min="6918" max="6918" width="8.5703125" customWidth="1"/>
    <col min="6919" max="6919" width="9.7109375" customWidth="1"/>
    <col min="6920" max="6920" width="11.28515625" customWidth="1"/>
    <col min="7166" max="7166" width="33.28515625" customWidth="1"/>
    <col min="7167" max="7167" width="8.5703125" customWidth="1"/>
    <col min="7168" max="7168" width="9.28515625" customWidth="1"/>
    <col min="7170" max="7170" width="8" customWidth="1"/>
    <col min="7171" max="7171" width="7.42578125" customWidth="1"/>
    <col min="7172" max="7172" width="7.85546875" customWidth="1"/>
    <col min="7173" max="7173" width="9" customWidth="1"/>
    <col min="7174" max="7174" width="8.5703125" customWidth="1"/>
    <col min="7175" max="7175" width="9.7109375" customWidth="1"/>
    <col min="7176" max="7176" width="11.28515625" customWidth="1"/>
    <col min="7422" max="7422" width="33.28515625" customWidth="1"/>
    <col min="7423" max="7423" width="8.5703125" customWidth="1"/>
    <col min="7424" max="7424" width="9.28515625" customWidth="1"/>
    <col min="7426" max="7426" width="8" customWidth="1"/>
    <col min="7427" max="7427" width="7.42578125" customWidth="1"/>
    <col min="7428" max="7428" width="7.85546875" customWidth="1"/>
    <col min="7429" max="7429" width="9" customWidth="1"/>
    <col min="7430" max="7430" width="8.5703125" customWidth="1"/>
    <col min="7431" max="7431" width="9.7109375" customWidth="1"/>
    <col min="7432" max="7432" width="11.28515625" customWidth="1"/>
    <col min="7678" max="7678" width="33.28515625" customWidth="1"/>
    <col min="7679" max="7679" width="8.5703125" customWidth="1"/>
    <col min="7680" max="7680" width="9.28515625" customWidth="1"/>
    <col min="7682" max="7682" width="8" customWidth="1"/>
    <col min="7683" max="7683" width="7.42578125" customWidth="1"/>
    <col min="7684" max="7684" width="7.85546875" customWidth="1"/>
    <col min="7685" max="7685" width="9" customWidth="1"/>
    <col min="7686" max="7686" width="8.5703125" customWidth="1"/>
    <col min="7687" max="7687" width="9.7109375" customWidth="1"/>
    <col min="7688" max="7688" width="11.28515625" customWidth="1"/>
    <col min="7934" max="7934" width="33.28515625" customWidth="1"/>
    <col min="7935" max="7935" width="8.5703125" customWidth="1"/>
    <col min="7936" max="7936" width="9.28515625" customWidth="1"/>
    <col min="7938" max="7938" width="8" customWidth="1"/>
    <col min="7939" max="7939" width="7.42578125" customWidth="1"/>
    <col min="7940" max="7940" width="7.85546875" customWidth="1"/>
    <col min="7941" max="7941" width="9" customWidth="1"/>
    <col min="7942" max="7942" width="8.5703125" customWidth="1"/>
    <col min="7943" max="7943" width="9.7109375" customWidth="1"/>
    <col min="7944" max="7944" width="11.28515625" customWidth="1"/>
    <col min="8190" max="8190" width="33.28515625" customWidth="1"/>
    <col min="8191" max="8191" width="8.5703125" customWidth="1"/>
    <col min="8192" max="8192" width="9.28515625" customWidth="1"/>
    <col min="8194" max="8194" width="8" customWidth="1"/>
    <col min="8195" max="8195" width="7.42578125" customWidth="1"/>
    <col min="8196" max="8196" width="7.85546875" customWidth="1"/>
    <col min="8197" max="8197" width="9" customWidth="1"/>
    <col min="8198" max="8198" width="8.5703125" customWidth="1"/>
    <col min="8199" max="8199" width="9.7109375" customWidth="1"/>
    <col min="8200" max="8200" width="11.28515625" customWidth="1"/>
    <col min="8446" max="8446" width="33.28515625" customWidth="1"/>
    <col min="8447" max="8447" width="8.5703125" customWidth="1"/>
    <col min="8448" max="8448" width="9.28515625" customWidth="1"/>
    <col min="8450" max="8450" width="8" customWidth="1"/>
    <col min="8451" max="8451" width="7.42578125" customWidth="1"/>
    <col min="8452" max="8452" width="7.85546875" customWidth="1"/>
    <col min="8453" max="8453" width="9" customWidth="1"/>
    <col min="8454" max="8454" width="8.5703125" customWidth="1"/>
    <col min="8455" max="8455" width="9.7109375" customWidth="1"/>
    <col min="8456" max="8456" width="11.28515625" customWidth="1"/>
    <col min="8702" max="8702" width="33.28515625" customWidth="1"/>
    <col min="8703" max="8703" width="8.5703125" customWidth="1"/>
    <col min="8704" max="8704" width="9.28515625" customWidth="1"/>
    <col min="8706" max="8706" width="8" customWidth="1"/>
    <col min="8707" max="8707" width="7.42578125" customWidth="1"/>
    <col min="8708" max="8708" width="7.85546875" customWidth="1"/>
    <col min="8709" max="8709" width="9" customWidth="1"/>
    <col min="8710" max="8710" width="8.5703125" customWidth="1"/>
    <col min="8711" max="8711" width="9.7109375" customWidth="1"/>
    <col min="8712" max="8712" width="11.28515625" customWidth="1"/>
    <col min="8958" max="8958" width="33.28515625" customWidth="1"/>
    <col min="8959" max="8959" width="8.5703125" customWidth="1"/>
    <col min="8960" max="8960" width="9.28515625" customWidth="1"/>
    <col min="8962" max="8962" width="8" customWidth="1"/>
    <col min="8963" max="8963" width="7.42578125" customWidth="1"/>
    <col min="8964" max="8964" width="7.85546875" customWidth="1"/>
    <col min="8965" max="8965" width="9" customWidth="1"/>
    <col min="8966" max="8966" width="8.5703125" customWidth="1"/>
    <col min="8967" max="8967" width="9.7109375" customWidth="1"/>
    <col min="8968" max="8968" width="11.28515625" customWidth="1"/>
    <col min="9214" max="9214" width="33.28515625" customWidth="1"/>
    <col min="9215" max="9215" width="8.5703125" customWidth="1"/>
    <col min="9216" max="9216" width="9.28515625" customWidth="1"/>
    <col min="9218" max="9218" width="8" customWidth="1"/>
    <col min="9219" max="9219" width="7.42578125" customWidth="1"/>
    <col min="9220" max="9220" width="7.85546875" customWidth="1"/>
    <col min="9221" max="9221" width="9" customWidth="1"/>
    <col min="9222" max="9222" width="8.5703125" customWidth="1"/>
    <col min="9223" max="9223" width="9.7109375" customWidth="1"/>
    <col min="9224" max="9224" width="11.28515625" customWidth="1"/>
    <col min="9470" max="9470" width="33.28515625" customWidth="1"/>
    <col min="9471" max="9471" width="8.5703125" customWidth="1"/>
    <col min="9472" max="9472" width="9.28515625" customWidth="1"/>
    <col min="9474" max="9474" width="8" customWidth="1"/>
    <col min="9475" max="9475" width="7.42578125" customWidth="1"/>
    <col min="9476" max="9476" width="7.85546875" customWidth="1"/>
    <col min="9477" max="9477" width="9" customWidth="1"/>
    <col min="9478" max="9478" width="8.5703125" customWidth="1"/>
    <col min="9479" max="9479" width="9.7109375" customWidth="1"/>
    <col min="9480" max="9480" width="11.28515625" customWidth="1"/>
    <col min="9726" max="9726" width="33.28515625" customWidth="1"/>
    <col min="9727" max="9727" width="8.5703125" customWidth="1"/>
    <col min="9728" max="9728" width="9.28515625" customWidth="1"/>
    <col min="9730" max="9730" width="8" customWidth="1"/>
    <col min="9731" max="9731" width="7.42578125" customWidth="1"/>
    <col min="9732" max="9732" width="7.85546875" customWidth="1"/>
    <col min="9733" max="9733" width="9" customWidth="1"/>
    <col min="9734" max="9734" width="8.5703125" customWidth="1"/>
    <col min="9735" max="9735" width="9.7109375" customWidth="1"/>
    <col min="9736" max="9736" width="11.28515625" customWidth="1"/>
    <col min="9982" max="9982" width="33.28515625" customWidth="1"/>
    <col min="9983" max="9983" width="8.5703125" customWidth="1"/>
    <col min="9984" max="9984" width="9.28515625" customWidth="1"/>
    <col min="9986" max="9986" width="8" customWidth="1"/>
    <col min="9987" max="9987" width="7.42578125" customWidth="1"/>
    <col min="9988" max="9988" width="7.85546875" customWidth="1"/>
    <col min="9989" max="9989" width="9" customWidth="1"/>
    <col min="9990" max="9990" width="8.5703125" customWidth="1"/>
    <col min="9991" max="9991" width="9.7109375" customWidth="1"/>
    <col min="9992" max="9992" width="11.28515625" customWidth="1"/>
    <col min="10238" max="10238" width="33.28515625" customWidth="1"/>
    <col min="10239" max="10239" width="8.5703125" customWidth="1"/>
    <col min="10240" max="10240" width="9.28515625" customWidth="1"/>
    <col min="10242" max="10242" width="8" customWidth="1"/>
    <col min="10243" max="10243" width="7.42578125" customWidth="1"/>
    <col min="10244" max="10244" width="7.85546875" customWidth="1"/>
    <col min="10245" max="10245" width="9" customWidth="1"/>
    <col min="10246" max="10246" width="8.5703125" customWidth="1"/>
    <col min="10247" max="10247" width="9.7109375" customWidth="1"/>
    <col min="10248" max="10248" width="11.28515625" customWidth="1"/>
    <col min="10494" max="10494" width="33.28515625" customWidth="1"/>
    <col min="10495" max="10495" width="8.5703125" customWidth="1"/>
    <col min="10496" max="10496" width="9.28515625" customWidth="1"/>
    <col min="10498" max="10498" width="8" customWidth="1"/>
    <col min="10499" max="10499" width="7.42578125" customWidth="1"/>
    <col min="10500" max="10500" width="7.85546875" customWidth="1"/>
    <col min="10501" max="10501" width="9" customWidth="1"/>
    <col min="10502" max="10502" width="8.5703125" customWidth="1"/>
    <col min="10503" max="10503" width="9.7109375" customWidth="1"/>
    <col min="10504" max="10504" width="11.28515625" customWidth="1"/>
    <col min="10750" max="10750" width="33.28515625" customWidth="1"/>
    <col min="10751" max="10751" width="8.5703125" customWidth="1"/>
    <col min="10752" max="10752" width="9.28515625" customWidth="1"/>
    <col min="10754" max="10754" width="8" customWidth="1"/>
    <col min="10755" max="10755" width="7.42578125" customWidth="1"/>
    <col min="10756" max="10756" width="7.85546875" customWidth="1"/>
    <col min="10757" max="10757" width="9" customWidth="1"/>
    <col min="10758" max="10758" width="8.5703125" customWidth="1"/>
    <col min="10759" max="10759" width="9.7109375" customWidth="1"/>
    <col min="10760" max="10760" width="11.28515625" customWidth="1"/>
    <col min="11006" max="11006" width="33.28515625" customWidth="1"/>
    <col min="11007" max="11007" width="8.5703125" customWidth="1"/>
    <col min="11008" max="11008" width="9.28515625" customWidth="1"/>
    <col min="11010" max="11010" width="8" customWidth="1"/>
    <col min="11011" max="11011" width="7.42578125" customWidth="1"/>
    <col min="11012" max="11012" width="7.85546875" customWidth="1"/>
    <col min="11013" max="11013" width="9" customWidth="1"/>
    <col min="11014" max="11014" width="8.5703125" customWidth="1"/>
    <col min="11015" max="11015" width="9.7109375" customWidth="1"/>
    <col min="11016" max="11016" width="11.28515625" customWidth="1"/>
    <col min="11262" max="11262" width="33.28515625" customWidth="1"/>
    <col min="11263" max="11263" width="8.5703125" customWidth="1"/>
    <col min="11264" max="11264" width="9.28515625" customWidth="1"/>
    <col min="11266" max="11266" width="8" customWidth="1"/>
    <col min="11267" max="11267" width="7.42578125" customWidth="1"/>
    <col min="11268" max="11268" width="7.85546875" customWidth="1"/>
    <col min="11269" max="11269" width="9" customWidth="1"/>
    <col min="11270" max="11270" width="8.5703125" customWidth="1"/>
    <col min="11271" max="11271" width="9.7109375" customWidth="1"/>
    <col min="11272" max="11272" width="11.28515625" customWidth="1"/>
    <col min="11518" max="11518" width="33.28515625" customWidth="1"/>
    <col min="11519" max="11519" width="8.5703125" customWidth="1"/>
    <col min="11520" max="11520" width="9.28515625" customWidth="1"/>
    <col min="11522" max="11522" width="8" customWidth="1"/>
    <col min="11523" max="11523" width="7.42578125" customWidth="1"/>
    <col min="11524" max="11524" width="7.85546875" customWidth="1"/>
    <col min="11525" max="11525" width="9" customWidth="1"/>
    <col min="11526" max="11526" width="8.5703125" customWidth="1"/>
    <col min="11527" max="11527" width="9.7109375" customWidth="1"/>
    <col min="11528" max="11528" width="11.28515625" customWidth="1"/>
    <col min="11774" max="11774" width="33.28515625" customWidth="1"/>
    <col min="11775" max="11775" width="8.5703125" customWidth="1"/>
    <col min="11776" max="11776" width="9.28515625" customWidth="1"/>
    <col min="11778" max="11778" width="8" customWidth="1"/>
    <col min="11779" max="11779" width="7.42578125" customWidth="1"/>
    <col min="11780" max="11780" width="7.85546875" customWidth="1"/>
    <col min="11781" max="11781" width="9" customWidth="1"/>
    <col min="11782" max="11782" width="8.5703125" customWidth="1"/>
    <col min="11783" max="11783" width="9.7109375" customWidth="1"/>
    <col min="11784" max="11784" width="11.28515625" customWidth="1"/>
    <col min="12030" max="12030" width="33.28515625" customWidth="1"/>
    <col min="12031" max="12031" width="8.5703125" customWidth="1"/>
    <col min="12032" max="12032" width="9.28515625" customWidth="1"/>
    <col min="12034" max="12034" width="8" customWidth="1"/>
    <col min="12035" max="12035" width="7.42578125" customWidth="1"/>
    <col min="12036" max="12036" width="7.85546875" customWidth="1"/>
    <col min="12037" max="12037" width="9" customWidth="1"/>
    <col min="12038" max="12038" width="8.5703125" customWidth="1"/>
    <col min="12039" max="12039" width="9.7109375" customWidth="1"/>
    <col min="12040" max="12040" width="11.28515625" customWidth="1"/>
    <col min="12286" max="12286" width="33.28515625" customWidth="1"/>
    <col min="12287" max="12287" width="8.5703125" customWidth="1"/>
    <col min="12288" max="12288" width="9.28515625" customWidth="1"/>
    <col min="12290" max="12290" width="8" customWidth="1"/>
    <col min="12291" max="12291" width="7.42578125" customWidth="1"/>
    <col min="12292" max="12292" width="7.85546875" customWidth="1"/>
    <col min="12293" max="12293" width="9" customWidth="1"/>
    <col min="12294" max="12294" width="8.5703125" customWidth="1"/>
    <col min="12295" max="12295" width="9.7109375" customWidth="1"/>
    <col min="12296" max="12296" width="11.28515625" customWidth="1"/>
    <col min="12542" max="12542" width="33.28515625" customWidth="1"/>
    <col min="12543" max="12543" width="8.5703125" customWidth="1"/>
    <col min="12544" max="12544" width="9.28515625" customWidth="1"/>
    <col min="12546" max="12546" width="8" customWidth="1"/>
    <col min="12547" max="12547" width="7.42578125" customWidth="1"/>
    <col min="12548" max="12548" width="7.85546875" customWidth="1"/>
    <col min="12549" max="12549" width="9" customWidth="1"/>
    <col min="12550" max="12550" width="8.5703125" customWidth="1"/>
    <col min="12551" max="12551" width="9.7109375" customWidth="1"/>
    <col min="12552" max="12552" width="11.28515625" customWidth="1"/>
    <col min="12798" max="12798" width="33.28515625" customWidth="1"/>
    <col min="12799" max="12799" width="8.5703125" customWidth="1"/>
    <col min="12800" max="12800" width="9.28515625" customWidth="1"/>
    <col min="12802" max="12802" width="8" customWidth="1"/>
    <col min="12803" max="12803" width="7.42578125" customWidth="1"/>
    <col min="12804" max="12804" width="7.85546875" customWidth="1"/>
    <col min="12805" max="12805" width="9" customWidth="1"/>
    <col min="12806" max="12806" width="8.5703125" customWidth="1"/>
    <col min="12807" max="12807" width="9.7109375" customWidth="1"/>
    <col min="12808" max="12808" width="11.28515625" customWidth="1"/>
    <col min="13054" max="13054" width="33.28515625" customWidth="1"/>
    <col min="13055" max="13055" width="8.5703125" customWidth="1"/>
    <col min="13056" max="13056" width="9.28515625" customWidth="1"/>
    <col min="13058" max="13058" width="8" customWidth="1"/>
    <col min="13059" max="13059" width="7.42578125" customWidth="1"/>
    <col min="13060" max="13060" width="7.85546875" customWidth="1"/>
    <col min="13061" max="13061" width="9" customWidth="1"/>
    <col min="13062" max="13062" width="8.5703125" customWidth="1"/>
    <col min="13063" max="13063" width="9.7109375" customWidth="1"/>
    <col min="13064" max="13064" width="11.28515625" customWidth="1"/>
    <col min="13310" max="13310" width="33.28515625" customWidth="1"/>
    <col min="13311" max="13311" width="8.5703125" customWidth="1"/>
    <col min="13312" max="13312" width="9.28515625" customWidth="1"/>
    <col min="13314" max="13314" width="8" customWidth="1"/>
    <col min="13315" max="13315" width="7.42578125" customWidth="1"/>
    <col min="13316" max="13316" width="7.85546875" customWidth="1"/>
    <col min="13317" max="13317" width="9" customWidth="1"/>
    <col min="13318" max="13318" width="8.5703125" customWidth="1"/>
    <col min="13319" max="13319" width="9.7109375" customWidth="1"/>
    <col min="13320" max="13320" width="11.28515625" customWidth="1"/>
    <col min="13566" max="13566" width="33.28515625" customWidth="1"/>
    <col min="13567" max="13567" width="8.5703125" customWidth="1"/>
    <col min="13568" max="13568" width="9.28515625" customWidth="1"/>
    <col min="13570" max="13570" width="8" customWidth="1"/>
    <col min="13571" max="13571" width="7.42578125" customWidth="1"/>
    <col min="13572" max="13572" width="7.85546875" customWidth="1"/>
    <col min="13573" max="13573" width="9" customWidth="1"/>
    <col min="13574" max="13574" width="8.5703125" customWidth="1"/>
    <col min="13575" max="13575" width="9.7109375" customWidth="1"/>
    <col min="13576" max="13576" width="11.28515625" customWidth="1"/>
    <col min="13822" max="13822" width="33.28515625" customWidth="1"/>
    <col min="13823" max="13823" width="8.5703125" customWidth="1"/>
    <col min="13824" max="13824" width="9.28515625" customWidth="1"/>
    <col min="13826" max="13826" width="8" customWidth="1"/>
    <col min="13827" max="13827" width="7.42578125" customWidth="1"/>
    <col min="13828" max="13828" width="7.85546875" customWidth="1"/>
    <col min="13829" max="13829" width="9" customWidth="1"/>
    <col min="13830" max="13830" width="8.5703125" customWidth="1"/>
    <col min="13831" max="13831" width="9.7109375" customWidth="1"/>
    <col min="13832" max="13832" width="11.28515625" customWidth="1"/>
    <col min="14078" max="14078" width="33.28515625" customWidth="1"/>
    <col min="14079" max="14079" width="8.5703125" customWidth="1"/>
    <col min="14080" max="14080" width="9.28515625" customWidth="1"/>
    <col min="14082" max="14082" width="8" customWidth="1"/>
    <col min="14083" max="14083" width="7.42578125" customWidth="1"/>
    <col min="14084" max="14084" width="7.85546875" customWidth="1"/>
    <col min="14085" max="14085" width="9" customWidth="1"/>
    <col min="14086" max="14086" width="8.5703125" customWidth="1"/>
    <col min="14087" max="14087" width="9.7109375" customWidth="1"/>
    <col min="14088" max="14088" width="11.28515625" customWidth="1"/>
    <col min="14334" max="14334" width="33.28515625" customWidth="1"/>
    <col min="14335" max="14335" width="8.5703125" customWidth="1"/>
    <col min="14336" max="14336" width="9.28515625" customWidth="1"/>
    <col min="14338" max="14338" width="8" customWidth="1"/>
    <col min="14339" max="14339" width="7.42578125" customWidth="1"/>
    <col min="14340" max="14340" width="7.85546875" customWidth="1"/>
    <col min="14341" max="14341" width="9" customWidth="1"/>
    <col min="14342" max="14342" width="8.5703125" customWidth="1"/>
    <col min="14343" max="14343" width="9.7109375" customWidth="1"/>
    <col min="14344" max="14344" width="11.28515625" customWidth="1"/>
    <col min="14590" max="14590" width="33.28515625" customWidth="1"/>
    <col min="14591" max="14591" width="8.5703125" customWidth="1"/>
    <col min="14592" max="14592" width="9.28515625" customWidth="1"/>
    <col min="14594" max="14594" width="8" customWidth="1"/>
    <col min="14595" max="14595" width="7.42578125" customWidth="1"/>
    <col min="14596" max="14596" width="7.85546875" customWidth="1"/>
    <col min="14597" max="14597" width="9" customWidth="1"/>
    <col min="14598" max="14598" width="8.5703125" customWidth="1"/>
    <col min="14599" max="14599" width="9.7109375" customWidth="1"/>
    <col min="14600" max="14600" width="11.28515625" customWidth="1"/>
    <col min="14846" max="14846" width="33.28515625" customWidth="1"/>
    <col min="14847" max="14847" width="8.5703125" customWidth="1"/>
    <col min="14848" max="14848" width="9.28515625" customWidth="1"/>
    <col min="14850" max="14850" width="8" customWidth="1"/>
    <col min="14851" max="14851" width="7.42578125" customWidth="1"/>
    <col min="14852" max="14852" width="7.85546875" customWidth="1"/>
    <col min="14853" max="14853" width="9" customWidth="1"/>
    <col min="14854" max="14854" width="8.5703125" customWidth="1"/>
    <col min="14855" max="14855" width="9.7109375" customWidth="1"/>
    <col min="14856" max="14856" width="11.28515625" customWidth="1"/>
    <col min="15102" max="15102" width="33.28515625" customWidth="1"/>
    <col min="15103" max="15103" width="8.5703125" customWidth="1"/>
    <col min="15104" max="15104" width="9.28515625" customWidth="1"/>
    <col min="15106" max="15106" width="8" customWidth="1"/>
    <col min="15107" max="15107" width="7.42578125" customWidth="1"/>
    <col min="15108" max="15108" width="7.85546875" customWidth="1"/>
    <col min="15109" max="15109" width="9" customWidth="1"/>
    <col min="15110" max="15110" width="8.5703125" customWidth="1"/>
    <col min="15111" max="15111" width="9.7109375" customWidth="1"/>
    <col min="15112" max="15112" width="11.28515625" customWidth="1"/>
    <col min="15358" max="15358" width="33.28515625" customWidth="1"/>
    <col min="15359" max="15359" width="8.5703125" customWidth="1"/>
    <col min="15360" max="15360" width="9.28515625" customWidth="1"/>
    <col min="15362" max="15362" width="8" customWidth="1"/>
    <col min="15363" max="15363" width="7.42578125" customWidth="1"/>
    <col min="15364" max="15364" width="7.85546875" customWidth="1"/>
    <col min="15365" max="15365" width="9" customWidth="1"/>
    <col min="15366" max="15366" width="8.5703125" customWidth="1"/>
    <col min="15367" max="15367" width="9.7109375" customWidth="1"/>
    <col min="15368" max="15368" width="11.28515625" customWidth="1"/>
    <col min="15614" max="15614" width="33.28515625" customWidth="1"/>
    <col min="15615" max="15615" width="8.5703125" customWidth="1"/>
    <col min="15616" max="15616" width="9.28515625" customWidth="1"/>
    <col min="15618" max="15618" width="8" customWidth="1"/>
    <col min="15619" max="15619" width="7.42578125" customWidth="1"/>
    <col min="15620" max="15620" width="7.85546875" customWidth="1"/>
    <col min="15621" max="15621" width="9" customWidth="1"/>
    <col min="15622" max="15622" width="8.5703125" customWidth="1"/>
    <col min="15623" max="15623" width="9.7109375" customWidth="1"/>
    <col min="15624" max="15624" width="11.28515625" customWidth="1"/>
    <col min="15870" max="15870" width="33.28515625" customWidth="1"/>
    <col min="15871" max="15871" width="8.5703125" customWidth="1"/>
    <col min="15872" max="15872" width="9.28515625" customWidth="1"/>
    <col min="15874" max="15874" width="8" customWidth="1"/>
    <col min="15875" max="15875" width="7.42578125" customWidth="1"/>
    <col min="15876" max="15876" width="7.85546875" customWidth="1"/>
    <col min="15877" max="15877" width="9" customWidth="1"/>
    <col min="15878" max="15878" width="8.5703125" customWidth="1"/>
    <col min="15879" max="15879" width="9.7109375" customWidth="1"/>
    <col min="15880" max="15880" width="11.28515625" customWidth="1"/>
    <col min="16126" max="16126" width="33.28515625" customWidth="1"/>
    <col min="16127" max="16127" width="8.5703125" customWidth="1"/>
    <col min="16128" max="16128" width="9.28515625" customWidth="1"/>
    <col min="16130" max="16130" width="8" customWidth="1"/>
    <col min="16131" max="16131" width="7.42578125" customWidth="1"/>
    <col min="16132" max="16132" width="7.85546875" customWidth="1"/>
    <col min="16133" max="16133" width="9" customWidth="1"/>
    <col min="16134" max="16134" width="8.5703125" customWidth="1"/>
    <col min="16135" max="16135" width="9.7109375" customWidth="1"/>
    <col min="16136" max="16136" width="11.2851562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</row>
    <row r="4" spans="1:12" x14ac:dyDescent="0.25">
      <c r="A4" s="3" t="s">
        <v>1</v>
      </c>
      <c r="B4" s="3"/>
      <c r="C4" s="3"/>
      <c r="D4" s="3" t="s">
        <v>2</v>
      </c>
      <c r="E4" s="3"/>
      <c r="F4" s="3"/>
      <c r="G4" s="2"/>
      <c r="H4" s="2"/>
      <c r="I4" s="2"/>
    </row>
    <row r="5" spans="1:12" x14ac:dyDescent="0.25">
      <c r="A5" s="2"/>
      <c r="B5" s="2"/>
      <c r="C5" s="2"/>
      <c r="D5" s="2"/>
      <c r="E5" s="2"/>
      <c r="F5" s="2"/>
      <c r="G5" s="4"/>
      <c r="H5" s="2"/>
      <c r="I5" s="2"/>
    </row>
    <row r="6" spans="1:12" x14ac:dyDescent="0.25">
      <c r="A6" s="3" t="s">
        <v>3</v>
      </c>
      <c r="B6" s="3"/>
      <c r="C6" s="3" t="s">
        <v>4</v>
      </c>
      <c r="D6" s="3" t="s">
        <v>5</v>
      </c>
      <c r="E6" s="5">
        <v>45981</v>
      </c>
      <c r="F6" s="104"/>
      <c r="G6" s="105"/>
      <c r="H6" s="2"/>
    </row>
    <row r="7" spans="1:12" ht="15.75" thickBot="1" x14ac:dyDescent="0.3">
      <c r="A7" s="2"/>
      <c r="B7" s="2"/>
      <c r="C7" s="2"/>
      <c r="D7" s="2"/>
      <c r="E7" s="2"/>
      <c r="F7" s="2"/>
      <c r="G7" s="2"/>
      <c r="H7" s="2"/>
    </row>
    <row r="8" spans="1:12" ht="15.75" thickBot="1" x14ac:dyDescent="0.3">
      <c r="A8" s="6" t="s">
        <v>6</v>
      </c>
      <c r="B8" s="7" t="s">
        <v>7</v>
      </c>
      <c r="C8" s="8" t="s">
        <v>8</v>
      </c>
      <c r="D8" s="106" t="s">
        <v>9</v>
      </c>
      <c r="E8" s="107"/>
      <c r="F8" s="8" t="s">
        <v>10</v>
      </c>
      <c r="G8" s="8" t="s">
        <v>11</v>
      </c>
      <c r="H8" s="9" t="s">
        <v>12</v>
      </c>
    </row>
    <row r="9" spans="1:12" ht="27" thickBot="1" x14ac:dyDescent="0.3">
      <c r="A9" s="10" t="s">
        <v>110</v>
      </c>
      <c r="B9" s="11" t="s">
        <v>14</v>
      </c>
      <c r="C9" s="12">
        <v>50350</v>
      </c>
      <c r="D9" s="110" t="s">
        <v>111</v>
      </c>
      <c r="E9" s="109"/>
      <c r="F9" s="13">
        <f>94.02*30</f>
        <v>2820.6</v>
      </c>
      <c r="G9" s="14" t="s">
        <v>16</v>
      </c>
      <c r="H9" s="8" t="s">
        <v>17</v>
      </c>
    </row>
    <row r="10" spans="1:12" s="16" customFormat="1" ht="27" thickBot="1" x14ac:dyDescent="0.3">
      <c r="A10" s="10" t="s">
        <v>112</v>
      </c>
      <c r="B10" s="11" t="s">
        <v>14</v>
      </c>
      <c r="C10" s="12">
        <v>50350</v>
      </c>
      <c r="D10" s="110" t="s">
        <v>111</v>
      </c>
      <c r="E10" s="109"/>
      <c r="F10" s="13">
        <f>94.02*30</f>
        <v>2820.6</v>
      </c>
      <c r="G10" s="14" t="s">
        <v>16</v>
      </c>
      <c r="H10" s="8" t="s">
        <v>17</v>
      </c>
    </row>
    <row r="11" spans="1:12" ht="15.75" thickBot="1" x14ac:dyDescent="0.3">
      <c r="A11" s="17"/>
      <c r="B11" s="18" t="s">
        <v>7</v>
      </c>
      <c r="C11" s="19"/>
      <c r="D11" s="111"/>
      <c r="E11" s="112"/>
      <c r="F11" s="21">
        <f>SUM(F9:F10)</f>
        <v>5641.2</v>
      </c>
      <c r="G11" s="22"/>
      <c r="H11" s="23"/>
    </row>
    <row r="12" spans="1:12" x14ac:dyDescent="0.25">
      <c r="A12" s="24" t="s">
        <v>20</v>
      </c>
      <c r="B12" s="25" t="s">
        <v>7</v>
      </c>
      <c r="C12" s="26" t="s">
        <v>21</v>
      </c>
      <c r="D12" s="26" t="s">
        <v>22</v>
      </c>
      <c r="E12" s="26"/>
      <c r="F12" s="26" t="s">
        <v>23</v>
      </c>
      <c r="G12" s="26"/>
      <c r="H12" s="27"/>
      <c r="L12" t="s">
        <v>113</v>
      </c>
    </row>
    <row r="13" spans="1:12" x14ac:dyDescent="0.25">
      <c r="A13" s="28"/>
      <c r="B13" s="29"/>
      <c r="C13" s="2"/>
      <c r="D13" s="2"/>
      <c r="E13" s="2"/>
      <c r="F13" s="2"/>
      <c r="G13" s="2"/>
      <c r="H13" s="30"/>
    </row>
    <row r="14" spans="1:12" ht="15.75" thickBot="1" x14ac:dyDescent="0.3">
      <c r="A14" s="31"/>
      <c r="B14" s="32"/>
      <c r="C14" s="32"/>
      <c r="D14" s="32"/>
      <c r="E14" s="32"/>
      <c r="F14" s="32"/>
      <c r="G14" s="32"/>
      <c r="H14" s="33"/>
    </row>
    <row r="15" spans="1:12" x14ac:dyDescent="0.25">
      <c r="A15" s="34"/>
      <c r="B15" s="35"/>
      <c r="C15" s="36"/>
      <c r="D15" s="36"/>
      <c r="E15" s="36"/>
      <c r="F15" s="36"/>
      <c r="G15" s="36"/>
      <c r="H15" s="36"/>
    </row>
    <row r="16" spans="1:12" x14ac:dyDescent="0.25">
      <c r="A16" s="37" t="s">
        <v>24</v>
      </c>
      <c r="B16" s="38"/>
      <c r="C16" s="38"/>
      <c r="D16" s="38"/>
      <c r="E16" s="38"/>
      <c r="F16" s="39"/>
      <c r="G16" s="40"/>
      <c r="H16" s="36"/>
    </row>
    <row r="17" spans="1:8" x14ac:dyDescent="0.25">
      <c r="A17" s="38" t="s">
        <v>25</v>
      </c>
      <c r="B17" s="37" t="s">
        <v>114</v>
      </c>
      <c r="C17" s="38"/>
      <c r="D17" s="38"/>
      <c r="E17" s="38"/>
      <c r="F17" s="38"/>
      <c r="G17" s="38"/>
      <c r="H17" s="36"/>
    </row>
    <row r="18" spans="1:8" x14ac:dyDescent="0.25">
      <c r="A18" s="38" t="s">
        <v>27</v>
      </c>
      <c r="B18" s="37"/>
      <c r="C18" s="38"/>
      <c r="D18" s="38"/>
      <c r="E18" s="38"/>
      <c r="F18" s="38"/>
      <c r="G18" s="38"/>
      <c r="H18" s="42"/>
    </row>
    <row r="19" spans="1:8" x14ac:dyDescent="0.25">
      <c r="A19" s="43" t="s">
        <v>28</v>
      </c>
      <c r="B19" s="37" t="s">
        <v>29</v>
      </c>
      <c r="C19" s="38"/>
      <c r="D19" s="55"/>
      <c r="E19" s="38"/>
      <c r="F19" s="38"/>
      <c r="G19" s="38"/>
      <c r="H19" s="34"/>
    </row>
    <row r="20" spans="1:8" x14ac:dyDescent="0.25">
      <c r="A20" s="38" t="s">
        <v>30</v>
      </c>
      <c r="B20" s="113" t="s">
        <v>115</v>
      </c>
      <c r="C20" s="114"/>
      <c r="D20" s="114"/>
      <c r="E20" s="114"/>
      <c r="F20" s="114"/>
      <c r="G20" s="114"/>
      <c r="H20" s="34"/>
    </row>
    <row r="21" spans="1:8" x14ac:dyDescent="0.25">
      <c r="A21" s="44"/>
      <c r="B21" s="45"/>
      <c r="C21" s="46"/>
      <c r="D21" s="47"/>
      <c r="E21" s="48"/>
      <c r="F21" s="39"/>
      <c r="G21" s="40"/>
      <c r="H21" s="36"/>
    </row>
    <row r="22" spans="1:8" x14ac:dyDescent="0.25">
      <c r="A22" s="49"/>
      <c r="B22" s="50"/>
      <c r="C22" s="51"/>
      <c r="D22" s="40"/>
      <c r="E22" s="36"/>
      <c r="F22" s="39"/>
      <c r="G22" s="40"/>
      <c r="H22" s="36"/>
    </row>
    <row r="23" spans="1:8" x14ac:dyDescent="0.25">
      <c r="A23" s="52"/>
      <c r="B23" s="42"/>
      <c r="C23" s="42"/>
      <c r="D23" s="42"/>
      <c r="E23" s="42"/>
      <c r="F23" s="42"/>
      <c r="G23" s="40"/>
      <c r="H23" s="36"/>
    </row>
    <row r="24" spans="1:8" x14ac:dyDescent="0.25">
      <c r="A24" s="42"/>
      <c r="B24" s="52"/>
      <c r="C24" s="42"/>
      <c r="D24" s="42"/>
      <c r="E24" s="42"/>
      <c r="F24" s="42"/>
      <c r="G24" s="42"/>
      <c r="H24" s="42"/>
    </row>
    <row r="25" spans="1:8" x14ac:dyDescent="0.25">
      <c r="A25" s="42"/>
      <c r="B25" s="52"/>
      <c r="C25" s="42"/>
      <c r="D25" s="42"/>
      <c r="E25" s="42"/>
      <c r="F25" s="42"/>
      <c r="G25" s="34"/>
      <c r="H25" s="34"/>
    </row>
    <row r="26" spans="1:8" x14ac:dyDescent="0.25">
      <c r="A26" s="34"/>
      <c r="B26" s="52"/>
      <c r="C26" s="42"/>
      <c r="D26" s="42"/>
      <c r="E26" s="42"/>
      <c r="F26" s="42"/>
      <c r="G26" s="34"/>
      <c r="H26" s="34"/>
    </row>
    <row r="27" spans="1:8" x14ac:dyDescent="0.25">
      <c r="A27" s="42"/>
      <c r="B27" s="102"/>
      <c r="C27" s="103"/>
      <c r="D27" s="103"/>
      <c r="E27" s="103"/>
      <c r="F27" s="42"/>
      <c r="G27" s="42"/>
      <c r="H27" s="42"/>
    </row>
  </sheetData>
  <mergeCells count="7">
    <mergeCell ref="B27:E27"/>
    <mergeCell ref="F6:G6"/>
    <mergeCell ref="D8:E8"/>
    <mergeCell ref="D9:E9"/>
    <mergeCell ref="D10:E10"/>
    <mergeCell ref="D11:E11"/>
    <mergeCell ref="B20:G20"/>
  </mergeCells>
  <pageMargins left="0.7" right="0.7" top="0.78740157499999996" bottom="0.78740157499999996" header="0.3" footer="0.3"/>
  <pageSetup paperSize="9" scale="6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16</vt:i4>
      </vt:variant>
    </vt:vector>
  </HeadingPairs>
  <TitlesOfParts>
    <vt:vector size="33" baseType="lpstr">
      <vt:lpstr>Barabanova</vt:lpstr>
      <vt:lpstr>Bersuch</vt:lpstr>
      <vt:lpstr>Brügge</vt:lpstr>
      <vt:lpstr>Burmeister</vt:lpstr>
      <vt:lpstr>Ellguth</vt:lpstr>
      <vt:lpstr>Hagen</vt:lpstr>
      <vt:lpstr>Hoffmann</vt:lpstr>
      <vt:lpstr>Jaspers</vt:lpstr>
      <vt:lpstr>Jönsson</vt:lpstr>
      <vt:lpstr>Jordan</vt:lpstr>
      <vt:lpstr>Karpez</vt:lpstr>
      <vt:lpstr>Meyer</vt:lpstr>
      <vt:lpstr>Neumann</vt:lpstr>
      <vt:lpstr>Reder</vt:lpstr>
      <vt:lpstr>Schein</vt:lpstr>
      <vt:lpstr>Cardinier</vt:lpstr>
      <vt:lpstr>Wiens</vt:lpstr>
      <vt:lpstr>Barabanova!Druckbereich</vt:lpstr>
      <vt:lpstr>Bersuch!Druckbereich</vt:lpstr>
      <vt:lpstr>Brügge!Druckbereich</vt:lpstr>
      <vt:lpstr>Burmeister!Druckbereich</vt:lpstr>
      <vt:lpstr>Cardinier!Druckbereich</vt:lpstr>
      <vt:lpstr>Ellguth!Druckbereich</vt:lpstr>
      <vt:lpstr>Hagen!Druckbereich</vt:lpstr>
      <vt:lpstr>Hoffmann!Druckbereich</vt:lpstr>
      <vt:lpstr>Jönsson!Druckbereich</vt:lpstr>
      <vt:lpstr>Jordan!Druckbereich</vt:lpstr>
      <vt:lpstr>Karpez!Druckbereich</vt:lpstr>
      <vt:lpstr>Meyer!Druckbereich</vt:lpstr>
      <vt:lpstr>Neumann!Druckbereich</vt:lpstr>
      <vt:lpstr>Reder!Druckbereich</vt:lpstr>
      <vt:lpstr>Schein!Druckbereich</vt:lpstr>
      <vt:lpstr>Wiens!Druckbereich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2025-11-26T11:36:21Z</dcterms:modified>
</cp:coreProperties>
</file>